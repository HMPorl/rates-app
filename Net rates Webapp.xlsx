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app/"/>
    </mc:Choice>
  </mc:AlternateContent>
  <xr:revisionPtr revIDLastSave="2" documentId="8_{D1BDF8B0-F1C0-4BC4-96B5-7FA9A3819E6B}" xr6:coauthVersionLast="47" xr6:coauthVersionMax="47" xr10:uidLastSave="{27559180-6374-47EF-BAD7-E231510D142C}"/>
  <bookViews>
    <workbookView xWindow="2895" yWindow="465" windowWidth="28800" windowHeight="2008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Import!$A$1:$Q$1299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99" i="6" l="1"/>
  <c r="K1299" i="6"/>
  <c r="E1299" i="6"/>
  <c r="P1298" i="6"/>
  <c r="K1298" i="6"/>
  <c r="E1298" i="6"/>
  <c r="P1297" i="6"/>
  <c r="K1297" i="6"/>
  <c r="E1297" i="6"/>
  <c r="P1296" i="6"/>
  <c r="K1296" i="6"/>
  <c r="E1296" i="6"/>
  <c r="P1295" i="6"/>
  <c r="K1295" i="6"/>
  <c r="E1295" i="6"/>
  <c r="P1294" i="6"/>
  <c r="K1294" i="6"/>
  <c r="E1294" i="6"/>
  <c r="P1293" i="6"/>
  <c r="K1293" i="6"/>
  <c r="E1293" i="6"/>
  <c r="P1292" i="6"/>
  <c r="K1292" i="6"/>
  <c r="E1292" i="6"/>
  <c r="P1291" i="6"/>
  <c r="K1291" i="6"/>
  <c r="E1291" i="6"/>
  <c r="P1290" i="6"/>
  <c r="K1290" i="6"/>
  <c r="E1290" i="6"/>
  <c r="P1289" i="6"/>
  <c r="K1289" i="6"/>
  <c r="E1289" i="6"/>
  <c r="P1288" i="6"/>
  <c r="K1288" i="6"/>
  <c r="E1288" i="6"/>
  <c r="P1287" i="6"/>
  <c r="K1287" i="6"/>
  <c r="E1287" i="6"/>
  <c r="P1286" i="6"/>
  <c r="K1286" i="6"/>
  <c r="E1286" i="6"/>
  <c r="P1285" i="6"/>
  <c r="K1285" i="6"/>
  <c r="E1285" i="6"/>
  <c r="P1284" i="6"/>
  <c r="K1284" i="6"/>
  <c r="E1284" i="6"/>
  <c r="P1283" i="6"/>
  <c r="K1283" i="6"/>
  <c r="E1283" i="6"/>
  <c r="P1282" i="6"/>
  <c r="K1282" i="6"/>
  <c r="E1282" i="6"/>
  <c r="P1281" i="6"/>
  <c r="K1281" i="6"/>
  <c r="E1281" i="6"/>
  <c r="P1280" i="6"/>
  <c r="K1280" i="6"/>
  <c r="E1280" i="6"/>
  <c r="P1279" i="6"/>
  <c r="K1279" i="6"/>
  <c r="E1279" i="6"/>
  <c r="P1278" i="6"/>
  <c r="K1278" i="6"/>
  <c r="E1278" i="6"/>
  <c r="P1277" i="6"/>
  <c r="K1277" i="6"/>
  <c r="E1277" i="6"/>
  <c r="P1276" i="6"/>
  <c r="K1276" i="6"/>
  <c r="E1276" i="6"/>
  <c r="P1275" i="6"/>
  <c r="K1275" i="6"/>
  <c r="E1275" i="6"/>
  <c r="P1274" i="6"/>
  <c r="K1274" i="6"/>
  <c r="E1274" i="6"/>
  <c r="P1273" i="6"/>
  <c r="K1273" i="6"/>
  <c r="E1273" i="6"/>
  <c r="P1272" i="6"/>
  <c r="K1272" i="6"/>
  <c r="E1272" i="6"/>
  <c r="P1271" i="6"/>
  <c r="K1271" i="6"/>
  <c r="E1271" i="6"/>
  <c r="P1270" i="6"/>
  <c r="K1270" i="6"/>
  <c r="E1270" i="6"/>
  <c r="P1269" i="6"/>
  <c r="K1269" i="6"/>
  <c r="E1269" i="6"/>
  <c r="P1268" i="6"/>
  <c r="K1268" i="6"/>
  <c r="E1268" i="6"/>
  <c r="P1267" i="6"/>
  <c r="K1267" i="6"/>
  <c r="E1267" i="6"/>
  <c r="P1266" i="6"/>
  <c r="K1266" i="6"/>
  <c r="E1266" i="6"/>
  <c r="P1265" i="6"/>
  <c r="K1265" i="6"/>
  <c r="E1265" i="6"/>
  <c r="P1264" i="6"/>
  <c r="K1264" i="6"/>
  <c r="E1264" i="6"/>
  <c r="P1263" i="6"/>
  <c r="K1263" i="6"/>
  <c r="E1263" i="6"/>
  <c r="P1262" i="6"/>
  <c r="K1262" i="6"/>
  <c r="E1262" i="6"/>
  <c r="P1261" i="6"/>
  <c r="K1261" i="6"/>
  <c r="E1261" i="6"/>
  <c r="P1260" i="6"/>
  <c r="K1260" i="6"/>
  <c r="E1260" i="6"/>
  <c r="P1259" i="6"/>
  <c r="K1259" i="6"/>
  <c r="E1259" i="6"/>
  <c r="P1258" i="6"/>
  <c r="K1258" i="6"/>
  <c r="E1258" i="6"/>
  <c r="P1257" i="6"/>
  <c r="K1257" i="6"/>
  <c r="E1257" i="6"/>
  <c r="P1256" i="6"/>
  <c r="K1256" i="6"/>
  <c r="E1256" i="6"/>
  <c r="P1255" i="6"/>
  <c r="K1255" i="6"/>
  <c r="E1255" i="6"/>
  <c r="P1254" i="6"/>
  <c r="K1254" i="6"/>
  <c r="E1254" i="6"/>
  <c r="P1253" i="6"/>
  <c r="K1253" i="6"/>
  <c r="E1253" i="6"/>
  <c r="P1252" i="6"/>
  <c r="K1252" i="6"/>
  <c r="E1252" i="6"/>
  <c r="P1251" i="6"/>
  <c r="K1251" i="6"/>
  <c r="E1251" i="6"/>
  <c r="P1250" i="6"/>
  <c r="K1250" i="6"/>
  <c r="E1250" i="6"/>
  <c r="P1249" i="6"/>
  <c r="K1249" i="6"/>
  <c r="E1249" i="6"/>
  <c r="P1248" i="6"/>
  <c r="K1248" i="6"/>
  <c r="E1248" i="6"/>
  <c r="P1247" i="6"/>
  <c r="K1247" i="6"/>
  <c r="E1247" i="6"/>
  <c r="P1246" i="6"/>
  <c r="K1246" i="6"/>
  <c r="E1246" i="6"/>
  <c r="P1245" i="6"/>
  <c r="K1245" i="6"/>
  <c r="E1245" i="6"/>
  <c r="P1244" i="6"/>
  <c r="K1244" i="6"/>
  <c r="E1244" i="6"/>
  <c r="P1243" i="6"/>
  <c r="K1243" i="6"/>
  <c r="E1243" i="6"/>
  <c r="P1242" i="6"/>
  <c r="K1242" i="6"/>
  <c r="E1242" i="6"/>
  <c r="P1241" i="6"/>
  <c r="K1241" i="6"/>
  <c r="E1241" i="6"/>
  <c r="P1240" i="6"/>
  <c r="K1240" i="6"/>
  <c r="E1240" i="6"/>
  <c r="P1239" i="6"/>
  <c r="K1239" i="6"/>
  <c r="E1239" i="6"/>
  <c r="P1238" i="6"/>
  <c r="K1238" i="6"/>
  <c r="E1238" i="6"/>
  <c r="P1237" i="6"/>
  <c r="K1237" i="6"/>
  <c r="E1237" i="6"/>
  <c r="P1236" i="6"/>
  <c r="K1236" i="6"/>
  <c r="E1236" i="6"/>
  <c r="P1235" i="6"/>
  <c r="K1235" i="6"/>
  <c r="E1235" i="6"/>
  <c r="P1234" i="6"/>
  <c r="K1234" i="6"/>
  <c r="E1234" i="6"/>
  <c r="P1233" i="6"/>
  <c r="K1233" i="6"/>
  <c r="E1233" i="6"/>
  <c r="P1232" i="6"/>
  <c r="K1232" i="6"/>
  <c r="E1232" i="6"/>
  <c r="P1231" i="6"/>
  <c r="K1231" i="6"/>
  <c r="E1231" i="6"/>
  <c r="P1230" i="6"/>
  <c r="K1230" i="6"/>
  <c r="E1230" i="6"/>
  <c r="P1229" i="6"/>
  <c r="K1229" i="6"/>
  <c r="E1229" i="6"/>
  <c r="P1228" i="6"/>
  <c r="K1228" i="6"/>
  <c r="E1228" i="6"/>
  <c r="P1227" i="6"/>
  <c r="K1227" i="6"/>
  <c r="E1227" i="6"/>
  <c r="P1226" i="6"/>
  <c r="K1226" i="6"/>
  <c r="E1226" i="6"/>
  <c r="P1225" i="6"/>
  <c r="K1225" i="6"/>
  <c r="E1225" i="6"/>
  <c r="P1224" i="6"/>
  <c r="K1224" i="6"/>
  <c r="E1224" i="6"/>
  <c r="P1223" i="6"/>
  <c r="K1223" i="6"/>
  <c r="E1223" i="6"/>
  <c r="P1222" i="6"/>
  <c r="K1222" i="6"/>
  <c r="E1222" i="6"/>
  <c r="P1221" i="6"/>
  <c r="K1221" i="6"/>
  <c r="E1221" i="6"/>
  <c r="P1220" i="6"/>
  <c r="K1220" i="6"/>
  <c r="E1220" i="6"/>
  <c r="P1219" i="6"/>
  <c r="K1219" i="6"/>
  <c r="E1219" i="6"/>
  <c r="P1218" i="6"/>
  <c r="K1218" i="6"/>
  <c r="E1218" i="6"/>
  <c r="P1217" i="6"/>
  <c r="K1217" i="6"/>
  <c r="E1217" i="6"/>
  <c r="P1216" i="6"/>
  <c r="K1216" i="6"/>
  <c r="E1216" i="6"/>
  <c r="P1215" i="6"/>
  <c r="K1215" i="6"/>
  <c r="E1215" i="6"/>
  <c r="P1214" i="6"/>
  <c r="K1214" i="6"/>
  <c r="E1214" i="6"/>
  <c r="P1213" i="6"/>
  <c r="K1213" i="6"/>
  <c r="E1213" i="6"/>
  <c r="P1212" i="6"/>
  <c r="K1212" i="6"/>
  <c r="E1212" i="6"/>
  <c r="P1211" i="6"/>
  <c r="K1211" i="6"/>
  <c r="E1211" i="6"/>
  <c r="P1210" i="6"/>
  <c r="K1210" i="6"/>
  <c r="E1210" i="6"/>
  <c r="P1209" i="6"/>
  <c r="K1209" i="6"/>
  <c r="E1209" i="6"/>
  <c r="P1208" i="6"/>
  <c r="K1208" i="6"/>
  <c r="E1208" i="6"/>
  <c r="P1207" i="6"/>
  <c r="K1207" i="6"/>
  <c r="E1207" i="6"/>
  <c r="P1206" i="6"/>
  <c r="K1206" i="6"/>
  <c r="E1206" i="6"/>
  <c r="P1205" i="6"/>
  <c r="K1205" i="6"/>
  <c r="E1205" i="6"/>
  <c r="P1204" i="6"/>
  <c r="K1204" i="6"/>
  <c r="E1204" i="6"/>
  <c r="P1203" i="6"/>
  <c r="K1203" i="6"/>
  <c r="E1203" i="6"/>
  <c r="P1202" i="6"/>
  <c r="K1202" i="6"/>
  <c r="E1202" i="6"/>
  <c r="P1201" i="6"/>
  <c r="K1201" i="6"/>
  <c r="E1201" i="6"/>
  <c r="P1200" i="6"/>
  <c r="K1200" i="6"/>
  <c r="E1200" i="6"/>
  <c r="P1199" i="6"/>
  <c r="K1199" i="6"/>
  <c r="E1199" i="6"/>
  <c r="P1198" i="6"/>
  <c r="K1198" i="6"/>
  <c r="E1198" i="6"/>
  <c r="P1197" i="6"/>
  <c r="K1197" i="6"/>
  <c r="E1197" i="6"/>
  <c r="P1196" i="6"/>
  <c r="K1196" i="6"/>
  <c r="E1196" i="6"/>
  <c r="P1195" i="6"/>
  <c r="K1195" i="6"/>
  <c r="E1195" i="6"/>
  <c r="P1194" i="6"/>
  <c r="K1194" i="6"/>
  <c r="E1194" i="6"/>
  <c r="P1193" i="6"/>
  <c r="K1193" i="6"/>
  <c r="E1193" i="6"/>
  <c r="P1192" i="6"/>
  <c r="K1192" i="6"/>
  <c r="E1192" i="6"/>
  <c r="P1191" i="6"/>
  <c r="K1191" i="6"/>
  <c r="E1191" i="6"/>
  <c r="P1190" i="6"/>
  <c r="K1190" i="6"/>
  <c r="E1190" i="6"/>
  <c r="P1189" i="6"/>
  <c r="K1189" i="6"/>
  <c r="E1189" i="6"/>
  <c r="P1188" i="6"/>
  <c r="K1188" i="6"/>
  <c r="E1188" i="6"/>
  <c r="P1187" i="6"/>
  <c r="K1187" i="6"/>
  <c r="E1187" i="6"/>
  <c r="P1186" i="6"/>
  <c r="K1186" i="6"/>
  <c r="E1186" i="6"/>
  <c r="P1185" i="6"/>
  <c r="K1185" i="6"/>
  <c r="E1185" i="6"/>
  <c r="P1184" i="6"/>
  <c r="K1184" i="6"/>
  <c r="E1184" i="6"/>
  <c r="P1183" i="6"/>
  <c r="K1183" i="6"/>
  <c r="E1183" i="6"/>
  <c r="P1182" i="6"/>
  <c r="K1182" i="6"/>
  <c r="E1182" i="6"/>
  <c r="P1181" i="6"/>
  <c r="K1181" i="6"/>
  <c r="E1181" i="6"/>
  <c r="P1180" i="6"/>
  <c r="K1180" i="6"/>
  <c r="E1180" i="6"/>
  <c r="P1179" i="6"/>
  <c r="K1179" i="6"/>
  <c r="E1179" i="6"/>
  <c r="P1178" i="6"/>
  <c r="K1178" i="6"/>
  <c r="E1178" i="6"/>
  <c r="P1177" i="6"/>
  <c r="K1177" i="6"/>
  <c r="E1177" i="6"/>
  <c r="P1176" i="6"/>
  <c r="K1176" i="6"/>
  <c r="E1176" i="6"/>
  <c r="P1175" i="6"/>
  <c r="K1175" i="6"/>
  <c r="E1175" i="6"/>
  <c r="P1174" i="6"/>
  <c r="K1174" i="6"/>
  <c r="E1174" i="6"/>
  <c r="P1173" i="6"/>
  <c r="K1173" i="6"/>
  <c r="E1173" i="6"/>
  <c r="P1172" i="6"/>
  <c r="K1172" i="6"/>
  <c r="E1172" i="6"/>
  <c r="P1171" i="6"/>
  <c r="K1171" i="6"/>
  <c r="E1171" i="6"/>
  <c r="P1170" i="6"/>
  <c r="K1170" i="6"/>
  <c r="E1170" i="6"/>
  <c r="P1169" i="6"/>
  <c r="K1169" i="6"/>
  <c r="E1169" i="6"/>
  <c r="P1168" i="6"/>
  <c r="K1168" i="6"/>
  <c r="E1168" i="6"/>
  <c r="P1167" i="6"/>
  <c r="K1167" i="6"/>
  <c r="E1167" i="6"/>
  <c r="P1166" i="6"/>
  <c r="K1166" i="6"/>
  <c r="E1166" i="6"/>
  <c r="P1165" i="6"/>
  <c r="K1165" i="6"/>
  <c r="E1165" i="6"/>
  <c r="P1164" i="6"/>
  <c r="K1164" i="6"/>
  <c r="E1164" i="6"/>
  <c r="P1163" i="6"/>
  <c r="K1163" i="6"/>
  <c r="E1163" i="6"/>
  <c r="P1162" i="6"/>
  <c r="K1162" i="6"/>
  <c r="E1162" i="6"/>
  <c r="P1161" i="6"/>
  <c r="K1161" i="6"/>
  <c r="E1161" i="6"/>
  <c r="P1160" i="6"/>
  <c r="K1160" i="6"/>
  <c r="E1160" i="6"/>
  <c r="P1159" i="6"/>
  <c r="K1159" i="6"/>
  <c r="E1159" i="6"/>
  <c r="P1158" i="6"/>
  <c r="K1158" i="6"/>
  <c r="E1158" i="6"/>
  <c r="P1157" i="6"/>
  <c r="K1157" i="6"/>
  <c r="E1157" i="6"/>
  <c r="P1156" i="6"/>
  <c r="K1156" i="6"/>
  <c r="E1156" i="6"/>
  <c r="P1155" i="6"/>
  <c r="K1155" i="6"/>
  <c r="E1155" i="6"/>
  <c r="P1154" i="6"/>
  <c r="K1154" i="6"/>
  <c r="E1154" i="6"/>
  <c r="P1153" i="6"/>
  <c r="K1153" i="6"/>
  <c r="E1153" i="6"/>
  <c r="P1152" i="6"/>
  <c r="K1152" i="6"/>
  <c r="E1152" i="6"/>
  <c r="P1151" i="6"/>
  <c r="K1151" i="6"/>
  <c r="E1151" i="6"/>
  <c r="P1150" i="6"/>
  <c r="K1150" i="6"/>
  <c r="E1150" i="6"/>
  <c r="P1149" i="6"/>
  <c r="K1149" i="6"/>
  <c r="E1149" i="6"/>
  <c r="P1148" i="6"/>
  <c r="K1148" i="6"/>
  <c r="E1148" i="6"/>
  <c r="P1147" i="6"/>
  <c r="K1147" i="6"/>
  <c r="E1147" i="6"/>
  <c r="P1146" i="6"/>
  <c r="K1146" i="6"/>
  <c r="E1146" i="6"/>
  <c r="P1145" i="6"/>
  <c r="K1145" i="6"/>
  <c r="E1145" i="6"/>
  <c r="P1144" i="6"/>
  <c r="K1144" i="6"/>
  <c r="E1144" i="6"/>
  <c r="P1143" i="6"/>
  <c r="K1143" i="6"/>
  <c r="E1143" i="6"/>
  <c r="P1142" i="6"/>
  <c r="K1142" i="6"/>
  <c r="E1142" i="6"/>
  <c r="P1141" i="6"/>
  <c r="K1141" i="6"/>
  <c r="E1141" i="6"/>
  <c r="P1140" i="6"/>
  <c r="K1140" i="6"/>
  <c r="E1140" i="6"/>
  <c r="P1139" i="6"/>
  <c r="K1139" i="6"/>
  <c r="E1139" i="6"/>
  <c r="P1138" i="6"/>
  <c r="K1138" i="6"/>
  <c r="E1138" i="6"/>
  <c r="P1137" i="6"/>
  <c r="K1137" i="6"/>
  <c r="E1137" i="6"/>
  <c r="P1136" i="6"/>
  <c r="K1136" i="6"/>
  <c r="E1136" i="6"/>
  <c r="P1135" i="6"/>
  <c r="K1135" i="6"/>
  <c r="E1135" i="6"/>
  <c r="P1134" i="6"/>
  <c r="K1134" i="6"/>
  <c r="E1134" i="6"/>
  <c r="P1133" i="6"/>
  <c r="K1133" i="6"/>
  <c r="E1133" i="6"/>
  <c r="P1132" i="6"/>
  <c r="K1132" i="6"/>
  <c r="E1132" i="6"/>
  <c r="P1131" i="6"/>
  <c r="K1131" i="6"/>
  <c r="E1131" i="6"/>
  <c r="P1130" i="6"/>
  <c r="K1130" i="6"/>
  <c r="E1130" i="6"/>
  <c r="P1129" i="6"/>
  <c r="K1129" i="6"/>
  <c r="E1129" i="6"/>
  <c r="P1128" i="6"/>
  <c r="K1128" i="6"/>
  <c r="E1128" i="6"/>
  <c r="P1127" i="6"/>
  <c r="K1127" i="6"/>
  <c r="E1127" i="6"/>
  <c r="P1126" i="6"/>
  <c r="K1126" i="6"/>
  <c r="E1126" i="6"/>
  <c r="P1125" i="6"/>
  <c r="K1125" i="6"/>
  <c r="E1125" i="6"/>
  <c r="P1124" i="6"/>
  <c r="K1124" i="6"/>
  <c r="E1124" i="6"/>
  <c r="P1123" i="6"/>
  <c r="K1123" i="6"/>
  <c r="E1123" i="6"/>
  <c r="P1122" i="6"/>
  <c r="K1122" i="6"/>
  <c r="E1122" i="6"/>
  <c r="P1121" i="6"/>
  <c r="K1121" i="6"/>
  <c r="E1121" i="6"/>
  <c r="P1120" i="6"/>
  <c r="K1120" i="6"/>
  <c r="E1120" i="6"/>
  <c r="P1119" i="6"/>
  <c r="K1119" i="6"/>
  <c r="E1119" i="6"/>
  <c r="P1118" i="6"/>
  <c r="K1118" i="6"/>
  <c r="E1118" i="6"/>
  <c r="P1117" i="6"/>
  <c r="K1117" i="6"/>
  <c r="E1117" i="6"/>
  <c r="P1116" i="6"/>
  <c r="K1116" i="6"/>
  <c r="E1116" i="6"/>
  <c r="P1115" i="6"/>
  <c r="K1115" i="6"/>
  <c r="E1115" i="6"/>
  <c r="P1114" i="6"/>
  <c r="K1114" i="6"/>
  <c r="E1114" i="6"/>
  <c r="P1113" i="6"/>
  <c r="K1113" i="6"/>
  <c r="E1113" i="6"/>
  <c r="P1112" i="6"/>
  <c r="K1112" i="6"/>
  <c r="E1112" i="6"/>
  <c r="P1111" i="6"/>
  <c r="K1111" i="6"/>
  <c r="E1111" i="6"/>
  <c r="P1110" i="6"/>
  <c r="K1110" i="6"/>
  <c r="E1110" i="6"/>
  <c r="P1109" i="6"/>
  <c r="K1109" i="6"/>
  <c r="E1109" i="6"/>
  <c r="P1108" i="6"/>
  <c r="K1108" i="6"/>
  <c r="E1108" i="6"/>
  <c r="P1107" i="6"/>
  <c r="K1107" i="6"/>
  <c r="E1107" i="6"/>
  <c r="P1106" i="6"/>
  <c r="K1106" i="6"/>
  <c r="E1106" i="6"/>
  <c r="P1105" i="6"/>
  <c r="K1105" i="6"/>
  <c r="E1105" i="6"/>
  <c r="P1104" i="6"/>
  <c r="K1104" i="6"/>
  <c r="E1104" i="6"/>
  <c r="P1103" i="6"/>
  <c r="K1103" i="6"/>
  <c r="E1103" i="6"/>
  <c r="P1102" i="6"/>
  <c r="K1102" i="6"/>
  <c r="E1102" i="6"/>
  <c r="P1101" i="6"/>
  <c r="K1101" i="6"/>
  <c r="E1101" i="6"/>
  <c r="P1100" i="6"/>
  <c r="K1100" i="6"/>
  <c r="E1100" i="6"/>
  <c r="P1099" i="6"/>
  <c r="K1099" i="6"/>
  <c r="E1099" i="6"/>
  <c r="P1098" i="6"/>
  <c r="K1098" i="6"/>
  <c r="E1098" i="6"/>
  <c r="P1097" i="6"/>
  <c r="K1097" i="6"/>
  <c r="E1097" i="6"/>
  <c r="P1096" i="6"/>
  <c r="K1096" i="6"/>
  <c r="E1096" i="6"/>
  <c r="P1095" i="6"/>
  <c r="K1095" i="6"/>
  <c r="E1095" i="6"/>
  <c r="P1094" i="6"/>
  <c r="K1094" i="6"/>
  <c r="E1094" i="6"/>
  <c r="P1093" i="6"/>
  <c r="K1093" i="6"/>
  <c r="E1093" i="6"/>
  <c r="P1092" i="6"/>
  <c r="K1092" i="6"/>
  <c r="E1092" i="6"/>
  <c r="P1091" i="6"/>
  <c r="K1091" i="6"/>
  <c r="E1091" i="6"/>
  <c r="P1090" i="6"/>
  <c r="K1090" i="6"/>
  <c r="E1090" i="6"/>
  <c r="P1089" i="6"/>
  <c r="K1089" i="6"/>
  <c r="E1089" i="6"/>
  <c r="P1088" i="6"/>
  <c r="K1088" i="6"/>
  <c r="E1088" i="6"/>
  <c r="P1087" i="6"/>
  <c r="K1087" i="6"/>
  <c r="E1087" i="6"/>
  <c r="P1086" i="6"/>
  <c r="K1086" i="6"/>
  <c r="E1086" i="6"/>
  <c r="P1085" i="6"/>
  <c r="K1085" i="6"/>
  <c r="E1085" i="6"/>
  <c r="P1084" i="6"/>
  <c r="K1084" i="6"/>
  <c r="E1084" i="6"/>
  <c r="P1083" i="6"/>
  <c r="K1083" i="6"/>
  <c r="E1083" i="6"/>
  <c r="P1082" i="6"/>
  <c r="K1082" i="6"/>
  <c r="E1082" i="6"/>
  <c r="P1081" i="6"/>
  <c r="K1081" i="6"/>
  <c r="E1081" i="6"/>
  <c r="P1080" i="6"/>
  <c r="K1080" i="6"/>
  <c r="E1080" i="6"/>
  <c r="P1079" i="6"/>
  <c r="K1079" i="6"/>
  <c r="E1079" i="6"/>
  <c r="P1078" i="6"/>
  <c r="K1078" i="6"/>
  <c r="E1078" i="6"/>
  <c r="P1077" i="6"/>
  <c r="K1077" i="6"/>
  <c r="E1077" i="6"/>
  <c r="P1076" i="6"/>
  <c r="K1076" i="6"/>
  <c r="E1076" i="6"/>
  <c r="P1075" i="6"/>
  <c r="K1075" i="6"/>
  <c r="E1075" i="6"/>
  <c r="P1074" i="6"/>
  <c r="K1074" i="6"/>
  <c r="E1074" i="6"/>
  <c r="P1073" i="6"/>
  <c r="K1073" i="6"/>
  <c r="E1073" i="6"/>
  <c r="P1072" i="6"/>
  <c r="K1072" i="6"/>
  <c r="E1072" i="6"/>
  <c r="P1071" i="6"/>
  <c r="K1071" i="6"/>
  <c r="E1071" i="6"/>
  <c r="P1070" i="6"/>
  <c r="K1070" i="6"/>
  <c r="E1070" i="6"/>
  <c r="P1069" i="6"/>
  <c r="K1069" i="6"/>
  <c r="E1069" i="6"/>
  <c r="P1068" i="6"/>
  <c r="K1068" i="6"/>
  <c r="E1068" i="6"/>
  <c r="P1067" i="6"/>
  <c r="K1067" i="6"/>
  <c r="E1067" i="6"/>
  <c r="P1066" i="6"/>
  <c r="K1066" i="6"/>
  <c r="E1066" i="6"/>
  <c r="P1065" i="6"/>
  <c r="K1065" i="6"/>
  <c r="E1065" i="6"/>
  <c r="P1064" i="6"/>
  <c r="K1064" i="6"/>
  <c r="E1064" i="6"/>
  <c r="P1063" i="6"/>
  <c r="K1063" i="6"/>
  <c r="E1063" i="6"/>
  <c r="P1062" i="6"/>
  <c r="K1062" i="6"/>
  <c r="E1062" i="6"/>
  <c r="P1061" i="6"/>
  <c r="K1061" i="6"/>
  <c r="E1061" i="6"/>
  <c r="P1060" i="6"/>
  <c r="K1060" i="6"/>
  <c r="E1060" i="6"/>
  <c r="P1059" i="6"/>
  <c r="K1059" i="6"/>
  <c r="E1059" i="6"/>
  <c r="P1058" i="6"/>
  <c r="K1058" i="6"/>
  <c r="E1058" i="6"/>
  <c r="P1057" i="6"/>
  <c r="K1057" i="6"/>
  <c r="E1057" i="6"/>
  <c r="P1056" i="6"/>
  <c r="K1056" i="6"/>
  <c r="E1056" i="6"/>
  <c r="P1055" i="6"/>
  <c r="K1055" i="6"/>
  <c r="E1055" i="6"/>
  <c r="P1054" i="6"/>
  <c r="K1054" i="6"/>
  <c r="E1054" i="6"/>
  <c r="P1053" i="6"/>
  <c r="K1053" i="6"/>
  <c r="E1053" i="6"/>
  <c r="P1052" i="6"/>
  <c r="K1052" i="6"/>
  <c r="E1052" i="6"/>
  <c r="P1051" i="6"/>
  <c r="K1051" i="6"/>
  <c r="E1051" i="6"/>
  <c r="P1050" i="6"/>
  <c r="K1050" i="6"/>
  <c r="E1050" i="6"/>
  <c r="P1049" i="6"/>
  <c r="K1049" i="6"/>
  <c r="E1049" i="6"/>
  <c r="P1048" i="6"/>
  <c r="K1048" i="6"/>
  <c r="E1048" i="6"/>
  <c r="P1047" i="6"/>
  <c r="K1047" i="6"/>
  <c r="E1047" i="6"/>
  <c r="P1046" i="6"/>
  <c r="K1046" i="6"/>
  <c r="E1046" i="6"/>
  <c r="P1045" i="6"/>
  <c r="K1045" i="6"/>
  <c r="E1045" i="6"/>
  <c r="P1044" i="6"/>
  <c r="K1044" i="6"/>
  <c r="E1044" i="6"/>
  <c r="P1043" i="6"/>
  <c r="K1043" i="6"/>
  <c r="E1043" i="6"/>
  <c r="P1042" i="6"/>
  <c r="K1042" i="6"/>
  <c r="E1042" i="6"/>
  <c r="P1041" i="6"/>
  <c r="K1041" i="6"/>
  <c r="E1041" i="6"/>
  <c r="P1040" i="6"/>
  <c r="K1040" i="6"/>
  <c r="E1040" i="6"/>
  <c r="P1039" i="6"/>
  <c r="K1039" i="6"/>
  <c r="E1039" i="6"/>
  <c r="P1038" i="6"/>
  <c r="K1038" i="6"/>
  <c r="E1038" i="6"/>
  <c r="P1037" i="6"/>
  <c r="K1037" i="6"/>
  <c r="E1037" i="6"/>
  <c r="P1036" i="6"/>
  <c r="K1036" i="6"/>
  <c r="E1036" i="6"/>
  <c r="P1035" i="6"/>
  <c r="K1035" i="6"/>
  <c r="E1035" i="6"/>
  <c r="P1034" i="6"/>
  <c r="K1034" i="6"/>
  <c r="E1034" i="6"/>
  <c r="P1033" i="6"/>
  <c r="K1033" i="6"/>
  <c r="E1033" i="6"/>
  <c r="P1032" i="6"/>
  <c r="K1032" i="6"/>
  <c r="E1032" i="6"/>
  <c r="P1031" i="6"/>
  <c r="K1031" i="6"/>
  <c r="E1031" i="6"/>
  <c r="P1030" i="6"/>
  <c r="K1030" i="6"/>
  <c r="E1030" i="6"/>
  <c r="P1029" i="6"/>
  <c r="K1029" i="6"/>
  <c r="E1029" i="6"/>
  <c r="P1028" i="6"/>
  <c r="K1028" i="6"/>
  <c r="E1028" i="6"/>
  <c r="P1027" i="6"/>
  <c r="K1027" i="6"/>
  <c r="E1027" i="6"/>
  <c r="P1026" i="6"/>
  <c r="K1026" i="6"/>
  <c r="E1026" i="6"/>
  <c r="P1025" i="6"/>
  <c r="K1025" i="6"/>
  <c r="E1025" i="6"/>
  <c r="P1024" i="6"/>
  <c r="K1024" i="6"/>
  <c r="E1024" i="6"/>
  <c r="P1023" i="6"/>
  <c r="K1023" i="6"/>
  <c r="E1023" i="6"/>
  <c r="P1022" i="6"/>
  <c r="K1022" i="6"/>
  <c r="E1022" i="6"/>
  <c r="P1021" i="6"/>
  <c r="K1021" i="6"/>
  <c r="E1021" i="6"/>
  <c r="P1020" i="6"/>
  <c r="K1020" i="6"/>
  <c r="E1020" i="6"/>
  <c r="P1019" i="6"/>
  <c r="K1019" i="6"/>
  <c r="E1019" i="6"/>
  <c r="P1018" i="6"/>
  <c r="K1018" i="6"/>
  <c r="E1018" i="6"/>
  <c r="P1017" i="6"/>
  <c r="K1017" i="6"/>
  <c r="E1017" i="6"/>
  <c r="P1016" i="6"/>
  <c r="K1016" i="6"/>
  <c r="E1016" i="6"/>
  <c r="P1015" i="6"/>
  <c r="K1015" i="6"/>
  <c r="E1015" i="6"/>
  <c r="P1014" i="6"/>
  <c r="K1014" i="6"/>
  <c r="E1014" i="6"/>
  <c r="P1013" i="6"/>
  <c r="K1013" i="6"/>
  <c r="E1013" i="6"/>
  <c r="P1012" i="6"/>
  <c r="K1012" i="6"/>
  <c r="E1012" i="6"/>
  <c r="P1011" i="6"/>
  <c r="K1011" i="6"/>
  <c r="E1011" i="6"/>
  <c r="P1010" i="6"/>
  <c r="K1010" i="6"/>
  <c r="E1010" i="6"/>
  <c r="P1009" i="6"/>
  <c r="K1009" i="6"/>
  <c r="E1009" i="6"/>
  <c r="P1008" i="6"/>
  <c r="K1008" i="6"/>
  <c r="E1008" i="6"/>
  <c r="P1007" i="6"/>
  <c r="K1007" i="6"/>
  <c r="E1007" i="6"/>
  <c r="P1006" i="6"/>
  <c r="K1006" i="6"/>
  <c r="E1006" i="6"/>
  <c r="P1005" i="6"/>
  <c r="K1005" i="6"/>
  <c r="E1005" i="6"/>
  <c r="P1004" i="6"/>
  <c r="K1004" i="6"/>
  <c r="E1004" i="6"/>
  <c r="P1003" i="6"/>
  <c r="K1003" i="6"/>
  <c r="E1003" i="6"/>
  <c r="P1002" i="6"/>
  <c r="K1002" i="6"/>
  <c r="E1002" i="6"/>
  <c r="P1001" i="6"/>
  <c r="K1001" i="6"/>
  <c r="E1001" i="6"/>
  <c r="P1000" i="6"/>
  <c r="K1000" i="6"/>
  <c r="E1000" i="6"/>
  <c r="P999" i="6"/>
  <c r="K999" i="6"/>
  <c r="E999" i="6"/>
  <c r="P998" i="6"/>
  <c r="K998" i="6"/>
  <c r="E998" i="6"/>
  <c r="P997" i="6"/>
  <c r="K997" i="6"/>
  <c r="E997" i="6"/>
  <c r="P996" i="6"/>
  <c r="K996" i="6"/>
  <c r="E996" i="6"/>
  <c r="P995" i="6"/>
  <c r="K995" i="6"/>
  <c r="E995" i="6"/>
  <c r="P994" i="6"/>
  <c r="K994" i="6"/>
  <c r="E994" i="6"/>
  <c r="P993" i="6"/>
  <c r="K993" i="6"/>
  <c r="E993" i="6"/>
  <c r="P992" i="6"/>
  <c r="K992" i="6"/>
  <c r="E992" i="6"/>
  <c r="P991" i="6"/>
  <c r="K991" i="6"/>
  <c r="E991" i="6"/>
  <c r="P990" i="6"/>
  <c r="K990" i="6"/>
  <c r="E990" i="6"/>
  <c r="P989" i="6"/>
  <c r="K989" i="6"/>
  <c r="E989" i="6"/>
  <c r="P988" i="6"/>
  <c r="K988" i="6"/>
  <c r="E988" i="6"/>
  <c r="P987" i="6"/>
  <c r="K987" i="6"/>
  <c r="E987" i="6"/>
  <c r="P986" i="6"/>
  <c r="K986" i="6"/>
  <c r="E986" i="6"/>
  <c r="P985" i="6"/>
  <c r="K985" i="6"/>
  <c r="E985" i="6"/>
  <c r="P984" i="6"/>
  <c r="K984" i="6"/>
  <c r="E984" i="6"/>
  <c r="P983" i="6"/>
  <c r="K983" i="6"/>
  <c r="E983" i="6"/>
  <c r="P982" i="6"/>
  <c r="K982" i="6"/>
  <c r="E982" i="6"/>
  <c r="P981" i="6"/>
  <c r="K981" i="6"/>
  <c r="E981" i="6"/>
  <c r="P980" i="6"/>
  <c r="K980" i="6"/>
  <c r="E980" i="6"/>
  <c r="P979" i="6"/>
  <c r="K979" i="6"/>
  <c r="E979" i="6"/>
  <c r="P978" i="6"/>
  <c r="K978" i="6"/>
  <c r="E978" i="6"/>
  <c r="P977" i="6"/>
  <c r="K977" i="6"/>
  <c r="E977" i="6"/>
  <c r="P976" i="6"/>
  <c r="K976" i="6"/>
  <c r="E976" i="6"/>
  <c r="P975" i="6"/>
  <c r="K975" i="6"/>
  <c r="E975" i="6"/>
  <c r="P974" i="6"/>
  <c r="K974" i="6"/>
  <c r="E974" i="6"/>
  <c r="P973" i="6"/>
  <c r="K973" i="6"/>
  <c r="E973" i="6"/>
  <c r="P972" i="6"/>
  <c r="K972" i="6"/>
  <c r="E972" i="6"/>
  <c r="P971" i="6"/>
  <c r="K971" i="6"/>
  <c r="E971" i="6"/>
  <c r="P970" i="6"/>
  <c r="K970" i="6"/>
  <c r="E970" i="6"/>
  <c r="P969" i="6"/>
  <c r="K969" i="6"/>
  <c r="E969" i="6"/>
  <c r="P968" i="6"/>
  <c r="K968" i="6"/>
  <c r="E968" i="6"/>
  <c r="P967" i="6"/>
  <c r="K967" i="6"/>
  <c r="E967" i="6"/>
  <c r="P966" i="6"/>
  <c r="K966" i="6"/>
  <c r="E966" i="6"/>
  <c r="P965" i="6"/>
  <c r="K965" i="6"/>
  <c r="E965" i="6"/>
  <c r="P964" i="6"/>
  <c r="K964" i="6"/>
  <c r="E964" i="6"/>
  <c r="P963" i="6"/>
  <c r="K963" i="6"/>
  <c r="E963" i="6"/>
  <c r="P962" i="6"/>
  <c r="K962" i="6"/>
  <c r="E962" i="6"/>
  <c r="P961" i="6"/>
  <c r="K961" i="6"/>
  <c r="E961" i="6"/>
  <c r="P960" i="6"/>
  <c r="K960" i="6"/>
  <c r="E960" i="6"/>
  <c r="P959" i="6"/>
  <c r="K959" i="6"/>
  <c r="E959" i="6"/>
  <c r="P958" i="6"/>
  <c r="K958" i="6"/>
  <c r="E958" i="6"/>
  <c r="P957" i="6"/>
  <c r="K957" i="6"/>
  <c r="E957" i="6"/>
  <c r="P956" i="6"/>
  <c r="K956" i="6"/>
  <c r="E956" i="6"/>
  <c r="P955" i="6"/>
  <c r="K955" i="6"/>
  <c r="E955" i="6"/>
  <c r="P954" i="6"/>
  <c r="K954" i="6"/>
  <c r="E954" i="6"/>
  <c r="P953" i="6"/>
  <c r="K953" i="6"/>
  <c r="E953" i="6"/>
  <c r="P952" i="6"/>
  <c r="K952" i="6"/>
  <c r="E952" i="6"/>
  <c r="P951" i="6"/>
  <c r="K951" i="6"/>
  <c r="E951" i="6"/>
  <c r="P950" i="6"/>
  <c r="K950" i="6"/>
  <c r="E950" i="6"/>
  <c r="P949" i="6"/>
  <c r="K949" i="6"/>
  <c r="E949" i="6"/>
  <c r="P948" i="6"/>
  <c r="K948" i="6"/>
  <c r="E948" i="6"/>
  <c r="P947" i="6"/>
  <c r="K947" i="6"/>
  <c r="E947" i="6"/>
  <c r="P946" i="6"/>
  <c r="K946" i="6"/>
  <c r="E946" i="6"/>
  <c r="P945" i="6"/>
  <c r="K945" i="6"/>
  <c r="E945" i="6"/>
  <c r="P944" i="6"/>
  <c r="K944" i="6"/>
  <c r="E944" i="6"/>
  <c r="P943" i="6"/>
  <c r="K943" i="6"/>
  <c r="E943" i="6"/>
  <c r="P942" i="6"/>
  <c r="K942" i="6"/>
  <c r="E942" i="6"/>
  <c r="P941" i="6"/>
  <c r="K941" i="6"/>
  <c r="E941" i="6"/>
  <c r="P940" i="6"/>
  <c r="K940" i="6"/>
  <c r="E940" i="6"/>
  <c r="P939" i="6"/>
  <c r="K939" i="6"/>
  <c r="E939" i="6"/>
  <c r="P938" i="6"/>
  <c r="K938" i="6"/>
  <c r="E938" i="6"/>
  <c r="P937" i="6"/>
  <c r="K937" i="6"/>
  <c r="E937" i="6"/>
  <c r="P936" i="6"/>
  <c r="K936" i="6"/>
  <c r="E936" i="6"/>
  <c r="P935" i="6"/>
  <c r="K935" i="6"/>
  <c r="E935" i="6"/>
  <c r="P934" i="6"/>
  <c r="K934" i="6"/>
  <c r="E934" i="6"/>
  <c r="P933" i="6"/>
  <c r="K933" i="6"/>
  <c r="E933" i="6"/>
  <c r="P932" i="6"/>
  <c r="K932" i="6"/>
  <c r="E932" i="6"/>
  <c r="P931" i="6"/>
  <c r="K931" i="6"/>
  <c r="E931" i="6"/>
  <c r="P930" i="6"/>
  <c r="K930" i="6"/>
  <c r="E930" i="6"/>
  <c r="P929" i="6"/>
  <c r="K929" i="6"/>
  <c r="E929" i="6"/>
  <c r="P928" i="6"/>
  <c r="K928" i="6"/>
  <c r="E928" i="6"/>
  <c r="P927" i="6"/>
  <c r="K927" i="6"/>
  <c r="E927" i="6"/>
  <c r="P926" i="6"/>
  <c r="K926" i="6"/>
  <c r="E926" i="6"/>
  <c r="P925" i="6"/>
  <c r="K925" i="6"/>
  <c r="E925" i="6"/>
  <c r="P924" i="6"/>
  <c r="K924" i="6"/>
  <c r="E924" i="6"/>
  <c r="P923" i="6"/>
  <c r="K923" i="6"/>
  <c r="E923" i="6"/>
  <c r="P922" i="6"/>
  <c r="K922" i="6"/>
  <c r="E922" i="6"/>
  <c r="P921" i="6"/>
  <c r="K921" i="6"/>
  <c r="E921" i="6"/>
  <c r="P920" i="6"/>
  <c r="K920" i="6"/>
  <c r="E920" i="6"/>
  <c r="P919" i="6"/>
  <c r="K919" i="6"/>
  <c r="E919" i="6"/>
  <c r="P918" i="6"/>
  <c r="K918" i="6"/>
  <c r="E918" i="6"/>
  <c r="P917" i="6"/>
  <c r="K917" i="6"/>
  <c r="E917" i="6"/>
  <c r="P916" i="6"/>
  <c r="K916" i="6"/>
  <c r="E916" i="6"/>
  <c r="P915" i="6"/>
  <c r="K915" i="6"/>
  <c r="E915" i="6"/>
  <c r="P914" i="6"/>
  <c r="K914" i="6"/>
  <c r="E914" i="6"/>
  <c r="P913" i="6"/>
  <c r="K913" i="6"/>
  <c r="E913" i="6"/>
  <c r="P912" i="6"/>
  <c r="K912" i="6"/>
  <c r="E912" i="6"/>
  <c r="P911" i="6"/>
  <c r="K911" i="6"/>
  <c r="E911" i="6"/>
  <c r="P910" i="6"/>
  <c r="K910" i="6"/>
  <c r="E910" i="6"/>
  <c r="P909" i="6"/>
  <c r="K909" i="6"/>
  <c r="E909" i="6"/>
  <c r="P908" i="6"/>
  <c r="K908" i="6"/>
  <c r="E908" i="6"/>
  <c r="P907" i="6"/>
  <c r="K907" i="6"/>
  <c r="E907" i="6"/>
  <c r="P906" i="6"/>
  <c r="K906" i="6"/>
  <c r="E906" i="6"/>
  <c r="P905" i="6"/>
  <c r="K905" i="6"/>
  <c r="E905" i="6"/>
  <c r="P904" i="6"/>
  <c r="K904" i="6"/>
  <c r="E904" i="6"/>
  <c r="P903" i="6"/>
  <c r="K903" i="6"/>
  <c r="E903" i="6"/>
  <c r="P902" i="6"/>
  <c r="K902" i="6"/>
  <c r="E902" i="6"/>
  <c r="P901" i="6"/>
  <c r="K901" i="6"/>
  <c r="E901" i="6"/>
  <c r="P900" i="6"/>
  <c r="K900" i="6"/>
  <c r="E900" i="6"/>
  <c r="P899" i="6"/>
  <c r="K899" i="6"/>
  <c r="E899" i="6"/>
  <c r="P898" i="6"/>
  <c r="K898" i="6"/>
  <c r="E898" i="6"/>
  <c r="P897" i="6"/>
  <c r="K897" i="6"/>
  <c r="E897" i="6"/>
  <c r="P896" i="6"/>
  <c r="K896" i="6"/>
  <c r="E896" i="6"/>
  <c r="P895" i="6"/>
  <c r="K895" i="6"/>
  <c r="E895" i="6"/>
  <c r="P894" i="6"/>
  <c r="K894" i="6"/>
  <c r="E894" i="6"/>
  <c r="P893" i="6"/>
  <c r="K893" i="6"/>
  <c r="E893" i="6"/>
  <c r="P892" i="6"/>
  <c r="K892" i="6"/>
  <c r="E892" i="6"/>
  <c r="P891" i="6"/>
  <c r="K891" i="6"/>
  <c r="E891" i="6"/>
  <c r="P890" i="6"/>
  <c r="K890" i="6"/>
  <c r="E890" i="6"/>
  <c r="P889" i="6"/>
  <c r="K889" i="6"/>
  <c r="E889" i="6"/>
  <c r="P888" i="6"/>
  <c r="K888" i="6"/>
  <c r="E888" i="6"/>
  <c r="P887" i="6"/>
  <c r="K887" i="6"/>
  <c r="E887" i="6"/>
  <c r="P886" i="6"/>
  <c r="K886" i="6"/>
  <c r="E886" i="6"/>
  <c r="P885" i="6"/>
  <c r="K885" i="6"/>
  <c r="E885" i="6"/>
  <c r="P884" i="6"/>
  <c r="K884" i="6"/>
  <c r="E884" i="6"/>
  <c r="P883" i="6"/>
  <c r="K883" i="6"/>
  <c r="E883" i="6"/>
  <c r="P882" i="6"/>
  <c r="K882" i="6"/>
  <c r="E882" i="6"/>
  <c r="P881" i="6"/>
  <c r="K881" i="6"/>
  <c r="E881" i="6"/>
  <c r="P880" i="6"/>
  <c r="K880" i="6"/>
  <c r="E880" i="6"/>
  <c r="P879" i="6"/>
  <c r="K879" i="6"/>
  <c r="E879" i="6"/>
  <c r="P878" i="6"/>
  <c r="K878" i="6"/>
  <c r="E878" i="6"/>
  <c r="P877" i="6"/>
  <c r="K877" i="6"/>
  <c r="E877" i="6"/>
  <c r="P876" i="6"/>
  <c r="K876" i="6"/>
  <c r="E876" i="6"/>
  <c r="P875" i="6"/>
  <c r="K875" i="6"/>
  <c r="E875" i="6"/>
  <c r="P874" i="6"/>
  <c r="K874" i="6"/>
  <c r="E874" i="6"/>
  <c r="P873" i="6"/>
  <c r="K873" i="6"/>
  <c r="E873" i="6"/>
  <c r="P872" i="6"/>
  <c r="K872" i="6"/>
  <c r="E872" i="6"/>
  <c r="P871" i="6"/>
  <c r="K871" i="6"/>
  <c r="E871" i="6"/>
  <c r="P870" i="6"/>
  <c r="K870" i="6"/>
  <c r="E870" i="6"/>
  <c r="P869" i="6"/>
  <c r="K869" i="6"/>
  <c r="E869" i="6"/>
  <c r="P868" i="6"/>
  <c r="K868" i="6"/>
  <c r="E868" i="6"/>
  <c r="P867" i="6"/>
  <c r="K867" i="6"/>
  <c r="E867" i="6"/>
  <c r="P866" i="6"/>
  <c r="K866" i="6"/>
  <c r="E866" i="6"/>
  <c r="P865" i="6"/>
  <c r="K865" i="6"/>
  <c r="E865" i="6"/>
  <c r="P864" i="6"/>
  <c r="K864" i="6"/>
  <c r="E864" i="6"/>
  <c r="P863" i="6"/>
  <c r="K863" i="6"/>
  <c r="E863" i="6"/>
  <c r="P862" i="6"/>
  <c r="K862" i="6"/>
  <c r="E862" i="6"/>
  <c r="P861" i="6"/>
  <c r="K861" i="6"/>
  <c r="E861" i="6"/>
  <c r="P860" i="6"/>
  <c r="K860" i="6"/>
  <c r="E860" i="6"/>
  <c r="P859" i="6"/>
  <c r="K859" i="6"/>
  <c r="E859" i="6"/>
  <c r="P858" i="6"/>
  <c r="K858" i="6"/>
  <c r="E858" i="6"/>
  <c r="P857" i="6"/>
  <c r="K857" i="6"/>
  <c r="E857" i="6"/>
  <c r="P856" i="6"/>
  <c r="K856" i="6"/>
  <c r="E856" i="6"/>
  <c r="P855" i="6"/>
  <c r="K855" i="6"/>
  <c r="E855" i="6"/>
  <c r="P854" i="6"/>
  <c r="K854" i="6"/>
  <c r="E854" i="6"/>
  <c r="P853" i="6"/>
  <c r="K853" i="6"/>
  <c r="E853" i="6"/>
  <c r="P852" i="6"/>
  <c r="K852" i="6"/>
  <c r="E852" i="6"/>
  <c r="P851" i="6"/>
  <c r="K851" i="6"/>
  <c r="E851" i="6"/>
  <c r="P850" i="6"/>
  <c r="K850" i="6"/>
  <c r="E850" i="6"/>
  <c r="P849" i="6"/>
  <c r="K849" i="6"/>
  <c r="E849" i="6"/>
  <c r="P848" i="6"/>
  <c r="K848" i="6"/>
  <c r="E848" i="6"/>
  <c r="P847" i="6"/>
  <c r="K847" i="6"/>
  <c r="E847" i="6"/>
  <c r="P846" i="6"/>
  <c r="K846" i="6"/>
  <c r="E846" i="6"/>
  <c r="P845" i="6"/>
  <c r="K845" i="6"/>
  <c r="E845" i="6"/>
  <c r="P844" i="6"/>
  <c r="K844" i="6"/>
  <c r="E844" i="6"/>
  <c r="P843" i="6"/>
  <c r="K843" i="6"/>
  <c r="E843" i="6"/>
  <c r="P842" i="6"/>
  <c r="K842" i="6"/>
  <c r="E842" i="6"/>
  <c r="P841" i="6"/>
  <c r="K841" i="6"/>
  <c r="E841" i="6"/>
  <c r="P840" i="6"/>
  <c r="K840" i="6"/>
  <c r="E840" i="6"/>
  <c r="P839" i="6"/>
  <c r="K839" i="6"/>
  <c r="E839" i="6"/>
  <c r="P838" i="6"/>
  <c r="K838" i="6"/>
  <c r="E838" i="6"/>
  <c r="P837" i="6"/>
  <c r="K837" i="6"/>
  <c r="E837" i="6"/>
  <c r="P836" i="6"/>
  <c r="K836" i="6"/>
  <c r="E836" i="6"/>
  <c r="P835" i="6"/>
  <c r="K835" i="6"/>
  <c r="E835" i="6"/>
  <c r="P834" i="6"/>
  <c r="K834" i="6"/>
  <c r="E834" i="6"/>
  <c r="P833" i="6"/>
  <c r="K833" i="6"/>
  <c r="E833" i="6"/>
  <c r="P832" i="6"/>
  <c r="K832" i="6"/>
  <c r="E832" i="6"/>
  <c r="P831" i="6"/>
  <c r="K831" i="6"/>
  <c r="E831" i="6"/>
  <c r="P830" i="6"/>
  <c r="K830" i="6"/>
  <c r="E830" i="6"/>
  <c r="P829" i="6"/>
  <c r="K829" i="6"/>
  <c r="E829" i="6"/>
  <c r="P828" i="6"/>
  <c r="K828" i="6"/>
  <c r="E828" i="6"/>
  <c r="P827" i="6"/>
  <c r="K827" i="6"/>
  <c r="E827" i="6"/>
  <c r="P826" i="6"/>
  <c r="K826" i="6"/>
  <c r="E826" i="6"/>
  <c r="P825" i="6"/>
  <c r="K825" i="6"/>
  <c r="E825" i="6"/>
  <c r="P824" i="6"/>
  <c r="K824" i="6"/>
  <c r="E824" i="6"/>
  <c r="P823" i="6"/>
  <c r="K823" i="6"/>
  <c r="E823" i="6"/>
  <c r="P822" i="6"/>
  <c r="K822" i="6"/>
  <c r="E822" i="6"/>
  <c r="P821" i="6"/>
  <c r="K821" i="6"/>
  <c r="E821" i="6"/>
  <c r="P820" i="6"/>
  <c r="K820" i="6"/>
  <c r="E820" i="6"/>
  <c r="P819" i="6"/>
  <c r="K819" i="6"/>
  <c r="E819" i="6"/>
  <c r="P818" i="6"/>
  <c r="K818" i="6"/>
  <c r="E818" i="6"/>
  <c r="P817" i="6"/>
  <c r="K817" i="6"/>
  <c r="E817" i="6"/>
  <c r="P816" i="6"/>
  <c r="K816" i="6"/>
  <c r="E816" i="6"/>
  <c r="P815" i="6"/>
  <c r="K815" i="6"/>
  <c r="E815" i="6"/>
  <c r="P814" i="6"/>
  <c r="K814" i="6"/>
  <c r="E814" i="6"/>
  <c r="P813" i="6"/>
  <c r="K813" i="6"/>
  <c r="E813" i="6"/>
  <c r="P812" i="6"/>
  <c r="K812" i="6"/>
  <c r="E812" i="6"/>
  <c r="P811" i="6"/>
  <c r="K811" i="6"/>
  <c r="E811" i="6"/>
  <c r="P810" i="6"/>
  <c r="K810" i="6"/>
  <c r="E810" i="6"/>
  <c r="P809" i="6"/>
  <c r="K809" i="6"/>
  <c r="E809" i="6"/>
  <c r="P808" i="6"/>
  <c r="K808" i="6"/>
  <c r="E808" i="6"/>
  <c r="P807" i="6"/>
  <c r="K807" i="6"/>
  <c r="E807" i="6"/>
  <c r="P806" i="6"/>
  <c r="K806" i="6"/>
  <c r="E806" i="6"/>
  <c r="P805" i="6"/>
  <c r="K805" i="6"/>
  <c r="E805" i="6"/>
  <c r="P804" i="6"/>
  <c r="K804" i="6"/>
  <c r="E804" i="6"/>
  <c r="P803" i="6"/>
  <c r="K803" i="6"/>
  <c r="E803" i="6"/>
  <c r="P802" i="6"/>
  <c r="K802" i="6"/>
  <c r="E802" i="6"/>
  <c r="P801" i="6"/>
  <c r="K801" i="6"/>
  <c r="E801" i="6"/>
  <c r="P800" i="6"/>
  <c r="K800" i="6"/>
  <c r="E800" i="6"/>
  <c r="P799" i="6"/>
  <c r="K799" i="6"/>
  <c r="E799" i="6"/>
  <c r="P798" i="6"/>
  <c r="K798" i="6"/>
  <c r="E798" i="6"/>
  <c r="P797" i="6"/>
  <c r="K797" i="6"/>
  <c r="E797" i="6"/>
  <c r="P796" i="6"/>
  <c r="K796" i="6"/>
  <c r="E796" i="6"/>
  <c r="P795" i="6"/>
  <c r="K795" i="6"/>
  <c r="E795" i="6"/>
  <c r="P794" i="6"/>
  <c r="K794" i="6"/>
  <c r="E794" i="6"/>
  <c r="P793" i="6"/>
  <c r="K793" i="6"/>
  <c r="E793" i="6"/>
  <c r="P792" i="6"/>
  <c r="K792" i="6"/>
  <c r="E792" i="6"/>
  <c r="P791" i="6"/>
  <c r="K791" i="6"/>
  <c r="E791" i="6"/>
  <c r="P790" i="6"/>
  <c r="K790" i="6"/>
  <c r="E790" i="6"/>
  <c r="P789" i="6"/>
  <c r="K789" i="6"/>
  <c r="E789" i="6"/>
  <c r="P788" i="6"/>
  <c r="K788" i="6"/>
  <c r="E788" i="6"/>
  <c r="P787" i="6"/>
  <c r="K787" i="6"/>
  <c r="E787" i="6"/>
  <c r="P786" i="6"/>
  <c r="K786" i="6"/>
  <c r="E786" i="6"/>
  <c r="P785" i="6"/>
  <c r="K785" i="6"/>
  <c r="E785" i="6"/>
  <c r="P784" i="6"/>
  <c r="K784" i="6"/>
  <c r="E784" i="6"/>
  <c r="P783" i="6"/>
  <c r="K783" i="6"/>
  <c r="E783" i="6"/>
  <c r="P782" i="6"/>
  <c r="K782" i="6"/>
  <c r="E782" i="6"/>
  <c r="P781" i="6"/>
  <c r="K781" i="6"/>
  <c r="E781" i="6"/>
  <c r="P780" i="6"/>
  <c r="K780" i="6"/>
  <c r="E780" i="6"/>
  <c r="P779" i="6"/>
  <c r="K779" i="6"/>
  <c r="E779" i="6"/>
  <c r="P778" i="6"/>
  <c r="K778" i="6"/>
  <c r="E778" i="6"/>
  <c r="P777" i="6"/>
  <c r="K777" i="6"/>
  <c r="E777" i="6"/>
  <c r="P776" i="6"/>
  <c r="K776" i="6"/>
  <c r="E776" i="6"/>
  <c r="P775" i="6"/>
  <c r="K775" i="6"/>
  <c r="E775" i="6"/>
  <c r="P774" i="6"/>
  <c r="K774" i="6"/>
  <c r="E774" i="6"/>
  <c r="P773" i="6"/>
  <c r="K773" i="6"/>
  <c r="E773" i="6"/>
  <c r="P772" i="6"/>
  <c r="K772" i="6"/>
  <c r="E772" i="6"/>
  <c r="P771" i="6"/>
  <c r="K771" i="6"/>
  <c r="E771" i="6"/>
  <c r="P770" i="6"/>
  <c r="K770" i="6"/>
  <c r="E770" i="6"/>
  <c r="P769" i="6"/>
  <c r="K769" i="6"/>
  <c r="E769" i="6"/>
  <c r="P768" i="6"/>
  <c r="K768" i="6"/>
  <c r="E768" i="6"/>
  <c r="P767" i="6"/>
  <c r="K767" i="6"/>
  <c r="E767" i="6"/>
  <c r="P766" i="6"/>
  <c r="K766" i="6"/>
  <c r="E766" i="6"/>
  <c r="P765" i="6"/>
  <c r="K765" i="6"/>
  <c r="E765" i="6"/>
  <c r="P764" i="6"/>
  <c r="K764" i="6"/>
  <c r="E764" i="6"/>
  <c r="P763" i="6"/>
  <c r="K763" i="6"/>
  <c r="E763" i="6"/>
  <c r="P762" i="6"/>
  <c r="K762" i="6"/>
  <c r="E762" i="6"/>
  <c r="P761" i="6"/>
  <c r="K761" i="6"/>
  <c r="E761" i="6"/>
  <c r="P760" i="6"/>
  <c r="K760" i="6"/>
  <c r="E760" i="6"/>
  <c r="P759" i="6"/>
  <c r="K759" i="6"/>
  <c r="E759" i="6"/>
  <c r="P758" i="6"/>
  <c r="K758" i="6"/>
  <c r="E758" i="6"/>
  <c r="P757" i="6"/>
  <c r="K757" i="6"/>
  <c r="E757" i="6"/>
  <c r="P756" i="6"/>
  <c r="K756" i="6"/>
  <c r="E756" i="6"/>
  <c r="P755" i="6"/>
  <c r="K755" i="6"/>
  <c r="E755" i="6"/>
  <c r="P754" i="6"/>
  <c r="K754" i="6"/>
  <c r="E754" i="6"/>
  <c r="P753" i="6"/>
  <c r="K753" i="6"/>
  <c r="E753" i="6"/>
  <c r="P752" i="6"/>
  <c r="K752" i="6"/>
  <c r="E752" i="6"/>
  <c r="P751" i="6"/>
  <c r="K751" i="6"/>
  <c r="E751" i="6"/>
  <c r="P750" i="6"/>
  <c r="K750" i="6"/>
  <c r="E750" i="6"/>
  <c r="P749" i="6"/>
  <c r="K749" i="6"/>
  <c r="E749" i="6"/>
  <c r="P748" i="6"/>
  <c r="K748" i="6"/>
  <c r="E748" i="6"/>
  <c r="P747" i="6"/>
  <c r="K747" i="6"/>
  <c r="E747" i="6"/>
  <c r="P746" i="6"/>
  <c r="K746" i="6"/>
  <c r="E746" i="6"/>
  <c r="P745" i="6"/>
  <c r="K745" i="6"/>
  <c r="E745" i="6"/>
  <c r="P744" i="6"/>
  <c r="K744" i="6"/>
  <c r="E744" i="6"/>
  <c r="P743" i="6"/>
  <c r="K743" i="6"/>
  <c r="E743" i="6"/>
  <c r="P742" i="6"/>
  <c r="K742" i="6"/>
  <c r="E742" i="6"/>
  <c r="P741" i="6"/>
  <c r="K741" i="6"/>
  <c r="E741" i="6"/>
  <c r="P740" i="6"/>
  <c r="K740" i="6"/>
  <c r="E740" i="6"/>
  <c r="P739" i="6"/>
  <c r="K739" i="6"/>
  <c r="E739" i="6"/>
  <c r="P738" i="6"/>
  <c r="K738" i="6"/>
  <c r="E738" i="6"/>
  <c r="P737" i="6"/>
  <c r="K737" i="6"/>
  <c r="E737" i="6"/>
  <c r="P736" i="6"/>
  <c r="K736" i="6"/>
  <c r="E736" i="6"/>
  <c r="P735" i="6"/>
  <c r="K735" i="6"/>
  <c r="E735" i="6"/>
  <c r="P734" i="6"/>
  <c r="K734" i="6"/>
  <c r="E734" i="6"/>
  <c r="P733" i="6"/>
  <c r="K733" i="6"/>
  <c r="E733" i="6"/>
  <c r="P732" i="6"/>
  <c r="K732" i="6"/>
  <c r="E732" i="6"/>
  <c r="P731" i="6"/>
  <c r="K731" i="6"/>
  <c r="E731" i="6"/>
  <c r="P730" i="6"/>
  <c r="K730" i="6"/>
  <c r="E730" i="6"/>
  <c r="P729" i="6"/>
  <c r="K729" i="6"/>
  <c r="E729" i="6"/>
  <c r="P728" i="6"/>
  <c r="K728" i="6"/>
  <c r="E728" i="6"/>
  <c r="P727" i="6"/>
  <c r="K727" i="6"/>
  <c r="E727" i="6"/>
  <c r="P726" i="6"/>
  <c r="K726" i="6"/>
  <c r="E726" i="6"/>
  <c r="P725" i="6"/>
  <c r="K725" i="6"/>
  <c r="E725" i="6"/>
  <c r="P724" i="6"/>
  <c r="K724" i="6"/>
  <c r="E724" i="6"/>
  <c r="P723" i="6"/>
  <c r="K723" i="6"/>
  <c r="E723" i="6"/>
  <c r="P722" i="6"/>
  <c r="K722" i="6"/>
  <c r="E722" i="6"/>
  <c r="P721" i="6"/>
  <c r="K721" i="6"/>
  <c r="E721" i="6"/>
  <c r="P720" i="6"/>
  <c r="K720" i="6"/>
  <c r="E720" i="6"/>
  <c r="P719" i="6"/>
  <c r="K719" i="6"/>
  <c r="E719" i="6"/>
  <c r="P718" i="6"/>
  <c r="K718" i="6"/>
  <c r="E718" i="6"/>
  <c r="P717" i="6"/>
  <c r="K717" i="6"/>
  <c r="E717" i="6"/>
  <c r="P716" i="6"/>
  <c r="K716" i="6"/>
  <c r="E716" i="6"/>
  <c r="P715" i="6"/>
  <c r="K715" i="6"/>
  <c r="E715" i="6"/>
  <c r="P714" i="6"/>
  <c r="K714" i="6"/>
  <c r="E714" i="6"/>
  <c r="P713" i="6"/>
  <c r="K713" i="6"/>
  <c r="E713" i="6"/>
  <c r="P712" i="6"/>
  <c r="K712" i="6"/>
  <c r="E712" i="6"/>
  <c r="P711" i="6"/>
  <c r="K711" i="6"/>
  <c r="E711" i="6"/>
  <c r="P710" i="6"/>
  <c r="K710" i="6"/>
  <c r="E710" i="6"/>
  <c r="P709" i="6"/>
  <c r="K709" i="6"/>
  <c r="E709" i="6"/>
  <c r="P708" i="6"/>
  <c r="K708" i="6"/>
  <c r="E708" i="6"/>
  <c r="P707" i="6"/>
  <c r="K707" i="6"/>
  <c r="E707" i="6"/>
  <c r="P706" i="6"/>
  <c r="K706" i="6"/>
  <c r="E706" i="6"/>
  <c r="P705" i="6"/>
  <c r="K705" i="6"/>
  <c r="E705" i="6"/>
  <c r="P704" i="6"/>
  <c r="K704" i="6"/>
  <c r="E704" i="6"/>
  <c r="P703" i="6"/>
  <c r="K703" i="6"/>
  <c r="E703" i="6"/>
  <c r="P702" i="6"/>
  <c r="K702" i="6"/>
  <c r="E702" i="6"/>
  <c r="P701" i="6"/>
  <c r="K701" i="6"/>
  <c r="E701" i="6"/>
  <c r="P700" i="6"/>
  <c r="K700" i="6"/>
  <c r="E700" i="6"/>
  <c r="P699" i="6"/>
  <c r="K699" i="6"/>
  <c r="E699" i="6"/>
  <c r="P698" i="6"/>
  <c r="K698" i="6"/>
  <c r="E698" i="6"/>
  <c r="P697" i="6"/>
  <c r="K697" i="6"/>
  <c r="E697" i="6"/>
  <c r="P696" i="6"/>
  <c r="K696" i="6"/>
  <c r="E696" i="6"/>
  <c r="P695" i="6"/>
  <c r="K695" i="6"/>
  <c r="E695" i="6"/>
  <c r="P694" i="6"/>
  <c r="K694" i="6"/>
  <c r="E694" i="6"/>
  <c r="P693" i="6"/>
  <c r="K693" i="6"/>
  <c r="E693" i="6"/>
  <c r="P692" i="6"/>
  <c r="K692" i="6"/>
  <c r="E692" i="6"/>
  <c r="P691" i="6"/>
  <c r="K691" i="6"/>
  <c r="E691" i="6"/>
  <c r="P690" i="6"/>
  <c r="K690" i="6"/>
  <c r="E690" i="6"/>
  <c r="P689" i="6"/>
  <c r="K689" i="6"/>
  <c r="E689" i="6"/>
  <c r="P688" i="6"/>
  <c r="K688" i="6"/>
  <c r="E688" i="6"/>
  <c r="P687" i="6"/>
  <c r="K687" i="6"/>
  <c r="E687" i="6"/>
  <c r="P686" i="6"/>
  <c r="K686" i="6"/>
  <c r="E686" i="6"/>
  <c r="P685" i="6"/>
  <c r="K685" i="6"/>
  <c r="E685" i="6"/>
  <c r="P684" i="6"/>
  <c r="K684" i="6"/>
  <c r="E684" i="6"/>
  <c r="P683" i="6"/>
  <c r="K683" i="6"/>
  <c r="E683" i="6"/>
  <c r="P682" i="6"/>
  <c r="K682" i="6"/>
  <c r="E682" i="6"/>
  <c r="P681" i="6"/>
  <c r="K681" i="6"/>
  <c r="E681" i="6"/>
  <c r="P680" i="6"/>
  <c r="K680" i="6"/>
  <c r="E680" i="6"/>
  <c r="P679" i="6"/>
  <c r="K679" i="6"/>
  <c r="E679" i="6"/>
  <c r="P678" i="6"/>
  <c r="K678" i="6"/>
  <c r="E678" i="6"/>
  <c r="P677" i="6"/>
  <c r="K677" i="6"/>
  <c r="E677" i="6"/>
  <c r="P676" i="6"/>
  <c r="K676" i="6"/>
  <c r="E676" i="6"/>
  <c r="P675" i="6"/>
  <c r="K675" i="6"/>
  <c r="E675" i="6"/>
  <c r="P674" i="6"/>
  <c r="K674" i="6"/>
  <c r="E674" i="6"/>
  <c r="P673" i="6"/>
  <c r="K673" i="6"/>
  <c r="E673" i="6"/>
  <c r="P672" i="6"/>
  <c r="K672" i="6"/>
  <c r="E672" i="6"/>
  <c r="P671" i="6"/>
  <c r="K671" i="6"/>
  <c r="E671" i="6"/>
  <c r="P670" i="6"/>
  <c r="K670" i="6"/>
  <c r="E670" i="6"/>
  <c r="P669" i="6"/>
  <c r="K669" i="6"/>
  <c r="E669" i="6"/>
  <c r="P668" i="6"/>
  <c r="K668" i="6"/>
  <c r="E668" i="6"/>
  <c r="P667" i="6"/>
  <c r="K667" i="6"/>
  <c r="E667" i="6"/>
  <c r="P666" i="6"/>
  <c r="K666" i="6"/>
  <c r="E666" i="6"/>
  <c r="P665" i="6"/>
  <c r="K665" i="6"/>
  <c r="E665" i="6"/>
  <c r="P664" i="6"/>
  <c r="K664" i="6"/>
  <c r="E664" i="6"/>
  <c r="P663" i="6"/>
  <c r="K663" i="6"/>
  <c r="E663" i="6"/>
  <c r="P662" i="6"/>
  <c r="K662" i="6"/>
  <c r="E662" i="6"/>
  <c r="P661" i="6"/>
  <c r="K661" i="6"/>
  <c r="E661" i="6"/>
  <c r="P660" i="6"/>
  <c r="K660" i="6"/>
  <c r="E660" i="6"/>
  <c r="P659" i="6"/>
  <c r="K659" i="6"/>
  <c r="E659" i="6"/>
  <c r="P658" i="6"/>
  <c r="K658" i="6"/>
  <c r="E658" i="6"/>
  <c r="P657" i="6"/>
  <c r="K657" i="6"/>
  <c r="E657" i="6"/>
  <c r="P656" i="6"/>
  <c r="K656" i="6"/>
  <c r="E656" i="6"/>
  <c r="P655" i="6"/>
  <c r="K655" i="6"/>
  <c r="E655" i="6"/>
  <c r="P654" i="6"/>
  <c r="K654" i="6"/>
  <c r="E654" i="6"/>
  <c r="P653" i="6"/>
  <c r="K653" i="6"/>
  <c r="E653" i="6"/>
  <c r="P652" i="6"/>
  <c r="K652" i="6"/>
  <c r="E652" i="6"/>
  <c r="P651" i="6"/>
  <c r="K651" i="6"/>
  <c r="E651" i="6"/>
  <c r="P650" i="6"/>
  <c r="K650" i="6"/>
  <c r="E650" i="6"/>
  <c r="P649" i="6"/>
  <c r="K649" i="6"/>
  <c r="E649" i="6"/>
  <c r="P648" i="6"/>
  <c r="K648" i="6"/>
  <c r="E648" i="6"/>
  <c r="P647" i="6"/>
  <c r="K647" i="6"/>
  <c r="E647" i="6"/>
  <c r="P646" i="6"/>
  <c r="K646" i="6"/>
  <c r="E646" i="6"/>
  <c r="P645" i="6"/>
  <c r="K645" i="6"/>
  <c r="E645" i="6"/>
  <c r="P644" i="6"/>
  <c r="K644" i="6"/>
  <c r="E644" i="6"/>
  <c r="P643" i="6"/>
  <c r="K643" i="6"/>
  <c r="E643" i="6"/>
  <c r="P642" i="6"/>
  <c r="K642" i="6"/>
  <c r="E642" i="6"/>
  <c r="P641" i="6"/>
  <c r="K641" i="6"/>
  <c r="E641" i="6"/>
  <c r="P640" i="6"/>
  <c r="K640" i="6"/>
  <c r="E640" i="6"/>
  <c r="P639" i="6"/>
  <c r="K639" i="6"/>
  <c r="E639" i="6"/>
  <c r="P638" i="6"/>
  <c r="K638" i="6"/>
  <c r="E638" i="6"/>
  <c r="P637" i="6"/>
  <c r="K637" i="6"/>
  <c r="E637" i="6"/>
  <c r="P636" i="6"/>
  <c r="K636" i="6"/>
  <c r="E636" i="6"/>
  <c r="P635" i="6"/>
  <c r="K635" i="6"/>
  <c r="E635" i="6"/>
  <c r="P634" i="6"/>
  <c r="K634" i="6"/>
  <c r="E634" i="6"/>
  <c r="P633" i="6"/>
  <c r="K633" i="6"/>
  <c r="E633" i="6"/>
  <c r="P632" i="6"/>
  <c r="K632" i="6"/>
  <c r="E632" i="6"/>
  <c r="P631" i="6"/>
  <c r="K631" i="6"/>
  <c r="E631" i="6"/>
  <c r="P630" i="6"/>
  <c r="K630" i="6"/>
  <c r="E630" i="6"/>
  <c r="P629" i="6"/>
  <c r="K629" i="6"/>
  <c r="E629" i="6"/>
  <c r="P628" i="6"/>
  <c r="K628" i="6"/>
  <c r="E628" i="6"/>
  <c r="P627" i="6"/>
  <c r="K627" i="6"/>
  <c r="E627" i="6"/>
  <c r="P626" i="6"/>
  <c r="K626" i="6"/>
  <c r="E626" i="6"/>
  <c r="P625" i="6"/>
  <c r="K625" i="6"/>
  <c r="E625" i="6"/>
  <c r="P624" i="6"/>
  <c r="K624" i="6"/>
  <c r="E624" i="6"/>
  <c r="P623" i="6"/>
  <c r="K623" i="6"/>
  <c r="E623" i="6"/>
  <c r="P622" i="6"/>
  <c r="K622" i="6"/>
  <c r="E622" i="6"/>
  <c r="P621" i="6"/>
  <c r="K621" i="6"/>
  <c r="E621" i="6"/>
  <c r="P620" i="6"/>
  <c r="K620" i="6"/>
  <c r="E620" i="6"/>
  <c r="P619" i="6"/>
  <c r="K619" i="6"/>
  <c r="E619" i="6"/>
  <c r="P618" i="6"/>
  <c r="K618" i="6"/>
  <c r="E618" i="6"/>
  <c r="P617" i="6"/>
  <c r="K617" i="6"/>
  <c r="E617" i="6"/>
  <c r="P616" i="6"/>
  <c r="K616" i="6"/>
  <c r="E616" i="6"/>
  <c r="P615" i="6"/>
  <c r="K615" i="6"/>
  <c r="E615" i="6"/>
  <c r="P614" i="6"/>
  <c r="K614" i="6"/>
  <c r="E614" i="6"/>
  <c r="P613" i="6"/>
  <c r="K613" i="6"/>
  <c r="E613" i="6"/>
  <c r="P612" i="6"/>
  <c r="K612" i="6"/>
  <c r="E612" i="6"/>
  <c r="P611" i="6"/>
  <c r="K611" i="6"/>
  <c r="E611" i="6"/>
  <c r="P610" i="6"/>
  <c r="K610" i="6"/>
  <c r="E610" i="6"/>
  <c r="P609" i="6"/>
  <c r="K609" i="6"/>
  <c r="E609" i="6"/>
  <c r="P608" i="6"/>
  <c r="K608" i="6"/>
  <c r="E608" i="6"/>
  <c r="P607" i="6"/>
  <c r="K607" i="6"/>
  <c r="E607" i="6"/>
  <c r="P606" i="6"/>
  <c r="K606" i="6"/>
  <c r="E606" i="6"/>
  <c r="P605" i="6"/>
  <c r="K605" i="6"/>
  <c r="E605" i="6"/>
  <c r="P604" i="6"/>
  <c r="K604" i="6"/>
  <c r="E604" i="6"/>
  <c r="P603" i="6"/>
  <c r="K603" i="6"/>
  <c r="E603" i="6"/>
  <c r="P602" i="6"/>
  <c r="K602" i="6"/>
  <c r="E602" i="6"/>
  <c r="P601" i="6"/>
  <c r="K601" i="6"/>
  <c r="E601" i="6"/>
  <c r="P600" i="6"/>
  <c r="K600" i="6"/>
  <c r="E600" i="6"/>
  <c r="P599" i="6"/>
  <c r="K599" i="6"/>
  <c r="E599" i="6"/>
  <c r="P598" i="6"/>
  <c r="K598" i="6"/>
  <c r="E598" i="6"/>
  <c r="P597" i="6"/>
  <c r="K597" i="6"/>
  <c r="E597" i="6"/>
  <c r="P596" i="6"/>
  <c r="K596" i="6"/>
  <c r="E596" i="6"/>
  <c r="P595" i="6"/>
  <c r="K595" i="6"/>
  <c r="E595" i="6"/>
  <c r="P594" i="6"/>
  <c r="K594" i="6"/>
  <c r="E594" i="6"/>
  <c r="P593" i="6"/>
  <c r="K593" i="6"/>
  <c r="E593" i="6"/>
  <c r="P592" i="6"/>
  <c r="K592" i="6"/>
  <c r="E592" i="6"/>
  <c r="P591" i="6"/>
  <c r="K591" i="6"/>
  <c r="E591" i="6"/>
  <c r="P590" i="6"/>
  <c r="K590" i="6"/>
  <c r="E590" i="6"/>
  <c r="P589" i="6"/>
  <c r="K589" i="6"/>
  <c r="E589" i="6"/>
  <c r="P588" i="6"/>
  <c r="K588" i="6"/>
  <c r="E588" i="6"/>
  <c r="P587" i="6"/>
  <c r="K587" i="6"/>
  <c r="E587" i="6"/>
  <c r="P586" i="6"/>
  <c r="K586" i="6"/>
  <c r="E586" i="6"/>
  <c r="P585" i="6"/>
  <c r="K585" i="6"/>
  <c r="E585" i="6"/>
  <c r="P584" i="6"/>
  <c r="K584" i="6"/>
  <c r="E584" i="6"/>
  <c r="P583" i="6"/>
  <c r="K583" i="6"/>
  <c r="E583" i="6"/>
  <c r="P582" i="6"/>
  <c r="K582" i="6"/>
  <c r="E582" i="6"/>
  <c r="P581" i="6"/>
  <c r="K581" i="6"/>
  <c r="E581" i="6"/>
  <c r="P580" i="6"/>
  <c r="K580" i="6"/>
  <c r="E580" i="6"/>
  <c r="P579" i="6"/>
  <c r="K579" i="6"/>
  <c r="E579" i="6"/>
  <c r="P578" i="6"/>
  <c r="K578" i="6"/>
  <c r="E578" i="6"/>
  <c r="P577" i="6"/>
  <c r="K577" i="6"/>
  <c r="E577" i="6"/>
  <c r="P576" i="6"/>
  <c r="K576" i="6"/>
  <c r="E576" i="6"/>
  <c r="P575" i="6"/>
  <c r="K575" i="6"/>
  <c r="E575" i="6"/>
  <c r="P574" i="6"/>
  <c r="K574" i="6"/>
  <c r="E574" i="6"/>
  <c r="P573" i="6"/>
  <c r="K573" i="6"/>
  <c r="E573" i="6"/>
  <c r="P572" i="6"/>
  <c r="K572" i="6"/>
  <c r="E572" i="6"/>
  <c r="P571" i="6"/>
  <c r="K571" i="6"/>
  <c r="E571" i="6"/>
  <c r="P570" i="6"/>
  <c r="K570" i="6"/>
  <c r="E570" i="6"/>
  <c r="P569" i="6"/>
  <c r="K569" i="6"/>
  <c r="E569" i="6"/>
  <c r="P568" i="6"/>
  <c r="K568" i="6"/>
  <c r="E568" i="6"/>
  <c r="P567" i="6"/>
  <c r="K567" i="6"/>
  <c r="E567" i="6"/>
  <c r="P566" i="6"/>
  <c r="K566" i="6"/>
  <c r="E566" i="6"/>
  <c r="P565" i="6"/>
  <c r="K565" i="6"/>
  <c r="E565" i="6"/>
  <c r="P564" i="6"/>
  <c r="K564" i="6"/>
  <c r="E564" i="6"/>
  <c r="P563" i="6"/>
  <c r="K563" i="6"/>
  <c r="E563" i="6"/>
  <c r="P562" i="6"/>
  <c r="K562" i="6"/>
  <c r="E562" i="6"/>
  <c r="P561" i="6"/>
  <c r="K561" i="6"/>
  <c r="E561" i="6"/>
  <c r="P560" i="6"/>
  <c r="K560" i="6"/>
  <c r="E560" i="6"/>
  <c r="P559" i="6"/>
  <c r="K559" i="6"/>
  <c r="E559" i="6"/>
  <c r="P558" i="6"/>
  <c r="K558" i="6"/>
  <c r="E558" i="6"/>
  <c r="P557" i="6"/>
  <c r="K557" i="6"/>
  <c r="E557" i="6"/>
  <c r="P556" i="6"/>
  <c r="K556" i="6"/>
  <c r="E556" i="6"/>
  <c r="P555" i="6"/>
  <c r="K555" i="6"/>
  <c r="E555" i="6"/>
  <c r="P554" i="6"/>
  <c r="K554" i="6"/>
  <c r="E554" i="6"/>
  <c r="P553" i="6"/>
  <c r="K553" i="6"/>
  <c r="E553" i="6"/>
  <c r="P552" i="6"/>
  <c r="K552" i="6"/>
  <c r="E552" i="6"/>
  <c r="P551" i="6"/>
  <c r="K551" i="6"/>
  <c r="E551" i="6"/>
  <c r="P550" i="6"/>
  <c r="K550" i="6"/>
  <c r="E550" i="6"/>
  <c r="P549" i="6"/>
  <c r="K549" i="6"/>
  <c r="E549" i="6"/>
  <c r="P548" i="6"/>
  <c r="K548" i="6"/>
  <c r="E548" i="6"/>
  <c r="P547" i="6"/>
  <c r="K547" i="6"/>
  <c r="E547" i="6"/>
  <c r="P546" i="6"/>
  <c r="K546" i="6"/>
  <c r="E546" i="6"/>
  <c r="P545" i="6"/>
  <c r="K545" i="6"/>
  <c r="E545" i="6"/>
  <c r="P544" i="6"/>
  <c r="K544" i="6"/>
  <c r="E544" i="6"/>
  <c r="P543" i="6"/>
  <c r="K543" i="6"/>
  <c r="E543" i="6"/>
  <c r="P542" i="6"/>
  <c r="K542" i="6"/>
  <c r="E542" i="6"/>
  <c r="P541" i="6"/>
  <c r="K541" i="6"/>
  <c r="E541" i="6"/>
  <c r="P540" i="6"/>
  <c r="K540" i="6"/>
  <c r="E540" i="6"/>
  <c r="P539" i="6"/>
  <c r="K539" i="6"/>
  <c r="E539" i="6"/>
  <c r="P538" i="6"/>
  <c r="K538" i="6"/>
  <c r="E538" i="6"/>
  <c r="P537" i="6"/>
  <c r="K537" i="6"/>
  <c r="E537" i="6"/>
  <c r="P536" i="6"/>
  <c r="K536" i="6"/>
  <c r="E536" i="6"/>
  <c r="P535" i="6"/>
  <c r="K535" i="6"/>
  <c r="E535" i="6"/>
  <c r="P534" i="6"/>
  <c r="K534" i="6"/>
  <c r="E534" i="6"/>
  <c r="P533" i="6"/>
  <c r="K533" i="6"/>
  <c r="E533" i="6"/>
  <c r="P532" i="6"/>
  <c r="K532" i="6"/>
  <c r="E532" i="6"/>
  <c r="P531" i="6"/>
  <c r="K531" i="6"/>
  <c r="E531" i="6"/>
  <c r="P530" i="6"/>
  <c r="K530" i="6"/>
  <c r="E530" i="6"/>
  <c r="P529" i="6"/>
  <c r="K529" i="6"/>
  <c r="E529" i="6"/>
  <c r="P528" i="6"/>
  <c r="K528" i="6"/>
  <c r="E528" i="6"/>
  <c r="P527" i="6"/>
  <c r="K527" i="6"/>
  <c r="E527" i="6"/>
  <c r="P526" i="6"/>
  <c r="K526" i="6"/>
  <c r="E526" i="6"/>
  <c r="P525" i="6"/>
  <c r="K525" i="6"/>
  <c r="E525" i="6"/>
  <c r="P524" i="6"/>
  <c r="K524" i="6"/>
  <c r="E524" i="6"/>
  <c r="P523" i="6"/>
  <c r="K523" i="6"/>
  <c r="E523" i="6"/>
  <c r="P522" i="6"/>
  <c r="K522" i="6"/>
  <c r="E522" i="6"/>
  <c r="P521" i="6"/>
  <c r="K521" i="6"/>
  <c r="E521" i="6"/>
  <c r="P520" i="6"/>
  <c r="K520" i="6"/>
  <c r="E520" i="6"/>
  <c r="P519" i="6"/>
  <c r="K519" i="6"/>
  <c r="E519" i="6"/>
  <c r="P518" i="6"/>
  <c r="K518" i="6"/>
  <c r="E518" i="6"/>
  <c r="P517" i="6"/>
  <c r="K517" i="6"/>
  <c r="E517" i="6"/>
  <c r="P516" i="6"/>
  <c r="K516" i="6"/>
  <c r="E516" i="6"/>
  <c r="P515" i="6"/>
  <c r="K515" i="6"/>
  <c r="E515" i="6"/>
  <c r="P514" i="6"/>
  <c r="K514" i="6"/>
  <c r="E514" i="6"/>
  <c r="P513" i="6"/>
  <c r="K513" i="6"/>
  <c r="E513" i="6"/>
  <c r="P512" i="6"/>
  <c r="K512" i="6"/>
  <c r="E512" i="6"/>
  <c r="P511" i="6"/>
  <c r="K511" i="6"/>
  <c r="E511" i="6"/>
  <c r="P510" i="6"/>
  <c r="K510" i="6"/>
  <c r="E510" i="6"/>
  <c r="P509" i="6"/>
  <c r="K509" i="6"/>
  <c r="E509" i="6"/>
  <c r="P508" i="6"/>
  <c r="K508" i="6"/>
  <c r="E508" i="6"/>
  <c r="P507" i="6"/>
  <c r="K507" i="6"/>
  <c r="E507" i="6"/>
  <c r="P506" i="6"/>
  <c r="K506" i="6"/>
  <c r="E506" i="6"/>
  <c r="P505" i="6"/>
  <c r="K505" i="6"/>
  <c r="E505" i="6"/>
  <c r="P504" i="6"/>
  <c r="K504" i="6"/>
  <c r="E504" i="6"/>
  <c r="P503" i="6"/>
  <c r="K503" i="6"/>
  <c r="E503" i="6"/>
  <c r="P502" i="6"/>
  <c r="K502" i="6"/>
  <c r="E502" i="6"/>
  <c r="P501" i="6"/>
  <c r="K501" i="6"/>
  <c r="E501" i="6"/>
  <c r="P500" i="6"/>
  <c r="K500" i="6"/>
  <c r="E500" i="6"/>
  <c r="P499" i="6"/>
  <c r="K499" i="6"/>
  <c r="E499" i="6"/>
  <c r="P498" i="6"/>
  <c r="K498" i="6"/>
  <c r="E498" i="6"/>
  <c r="P497" i="6"/>
  <c r="K497" i="6"/>
  <c r="E497" i="6"/>
  <c r="P496" i="6"/>
  <c r="K496" i="6"/>
  <c r="E496" i="6"/>
  <c r="P495" i="6"/>
  <c r="K495" i="6"/>
  <c r="E495" i="6"/>
  <c r="P494" i="6"/>
  <c r="K494" i="6"/>
  <c r="E494" i="6"/>
  <c r="P493" i="6"/>
  <c r="K493" i="6"/>
  <c r="E493" i="6"/>
  <c r="P492" i="6"/>
  <c r="K492" i="6"/>
  <c r="E492" i="6"/>
  <c r="P491" i="6"/>
  <c r="K491" i="6"/>
  <c r="E491" i="6"/>
  <c r="P490" i="6"/>
  <c r="K490" i="6"/>
  <c r="E490" i="6"/>
  <c r="P489" i="6"/>
  <c r="K489" i="6"/>
  <c r="E489" i="6"/>
  <c r="P488" i="6"/>
  <c r="K488" i="6"/>
  <c r="E488" i="6"/>
  <c r="P487" i="6"/>
  <c r="K487" i="6"/>
  <c r="E487" i="6"/>
  <c r="P486" i="6"/>
  <c r="K486" i="6"/>
  <c r="E486" i="6"/>
  <c r="P485" i="6"/>
  <c r="K485" i="6"/>
  <c r="E485" i="6"/>
  <c r="P484" i="6"/>
  <c r="K484" i="6"/>
  <c r="E484" i="6"/>
  <c r="P483" i="6"/>
  <c r="K483" i="6"/>
  <c r="E483" i="6"/>
  <c r="P482" i="6"/>
  <c r="K482" i="6"/>
  <c r="E482" i="6"/>
  <c r="P481" i="6"/>
  <c r="K481" i="6"/>
  <c r="E481" i="6"/>
  <c r="P480" i="6"/>
  <c r="K480" i="6"/>
  <c r="E480" i="6"/>
  <c r="P479" i="6"/>
  <c r="K479" i="6"/>
  <c r="E479" i="6"/>
  <c r="P478" i="6"/>
  <c r="K478" i="6"/>
  <c r="E478" i="6"/>
  <c r="P477" i="6"/>
  <c r="K477" i="6"/>
  <c r="E477" i="6"/>
  <c r="P476" i="6"/>
  <c r="K476" i="6"/>
  <c r="E476" i="6"/>
  <c r="P475" i="6"/>
  <c r="K475" i="6"/>
  <c r="E475" i="6"/>
  <c r="P474" i="6"/>
  <c r="K474" i="6"/>
  <c r="E474" i="6"/>
  <c r="P473" i="6"/>
  <c r="K473" i="6"/>
  <c r="E473" i="6"/>
  <c r="P472" i="6"/>
  <c r="K472" i="6"/>
  <c r="E472" i="6"/>
  <c r="P471" i="6"/>
  <c r="K471" i="6"/>
  <c r="E471" i="6"/>
  <c r="P470" i="6"/>
  <c r="K470" i="6"/>
  <c r="E470" i="6"/>
  <c r="P469" i="6"/>
  <c r="K469" i="6"/>
  <c r="E469" i="6"/>
  <c r="P468" i="6"/>
  <c r="K468" i="6"/>
  <c r="E468" i="6"/>
  <c r="P467" i="6"/>
  <c r="K467" i="6"/>
  <c r="E467" i="6"/>
  <c r="P466" i="6"/>
  <c r="K466" i="6"/>
  <c r="E466" i="6"/>
  <c r="P465" i="6"/>
  <c r="K465" i="6"/>
  <c r="E465" i="6"/>
  <c r="P464" i="6"/>
  <c r="K464" i="6"/>
  <c r="E464" i="6"/>
  <c r="P463" i="6"/>
  <c r="K463" i="6"/>
  <c r="E463" i="6"/>
  <c r="P462" i="6"/>
  <c r="K462" i="6"/>
  <c r="E462" i="6"/>
  <c r="P461" i="6"/>
  <c r="K461" i="6"/>
  <c r="E461" i="6"/>
  <c r="P460" i="6"/>
  <c r="K460" i="6"/>
  <c r="E460" i="6"/>
  <c r="P459" i="6"/>
  <c r="K459" i="6"/>
  <c r="E459" i="6"/>
  <c r="P458" i="6"/>
  <c r="K458" i="6"/>
  <c r="E458" i="6"/>
  <c r="P457" i="6"/>
  <c r="K457" i="6"/>
  <c r="E457" i="6"/>
  <c r="P456" i="6"/>
  <c r="K456" i="6"/>
  <c r="E456" i="6"/>
  <c r="P455" i="6"/>
  <c r="K455" i="6"/>
  <c r="E455" i="6"/>
  <c r="P454" i="6"/>
  <c r="K454" i="6"/>
  <c r="E454" i="6"/>
  <c r="P453" i="6"/>
  <c r="K453" i="6"/>
  <c r="E453" i="6"/>
  <c r="P452" i="6"/>
  <c r="K452" i="6"/>
  <c r="E452" i="6"/>
  <c r="P451" i="6"/>
  <c r="K451" i="6"/>
  <c r="E451" i="6"/>
  <c r="P450" i="6"/>
  <c r="K450" i="6"/>
  <c r="E450" i="6"/>
  <c r="P449" i="6"/>
  <c r="K449" i="6"/>
  <c r="E449" i="6"/>
  <c r="P448" i="6"/>
  <c r="K448" i="6"/>
  <c r="E448" i="6"/>
  <c r="P447" i="6"/>
  <c r="K447" i="6"/>
  <c r="E447" i="6"/>
  <c r="P446" i="6"/>
  <c r="K446" i="6"/>
  <c r="E446" i="6"/>
  <c r="P445" i="6"/>
  <c r="K445" i="6"/>
  <c r="E445" i="6"/>
  <c r="P444" i="6"/>
  <c r="K444" i="6"/>
  <c r="E444" i="6"/>
  <c r="P443" i="6"/>
  <c r="K443" i="6"/>
  <c r="E443" i="6"/>
  <c r="P442" i="6"/>
  <c r="K442" i="6"/>
  <c r="E442" i="6"/>
  <c r="P441" i="6"/>
  <c r="K441" i="6"/>
  <c r="E441" i="6"/>
  <c r="P440" i="6"/>
  <c r="K440" i="6"/>
  <c r="E440" i="6"/>
  <c r="P439" i="6"/>
  <c r="K439" i="6"/>
  <c r="E439" i="6"/>
  <c r="P438" i="6"/>
  <c r="K438" i="6"/>
  <c r="E438" i="6"/>
  <c r="P437" i="6"/>
  <c r="K437" i="6"/>
  <c r="E437" i="6"/>
  <c r="P436" i="6"/>
  <c r="K436" i="6"/>
  <c r="E436" i="6"/>
  <c r="P435" i="6"/>
  <c r="K435" i="6"/>
  <c r="E435" i="6"/>
  <c r="P434" i="6"/>
  <c r="K434" i="6"/>
  <c r="E434" i="6"/>
  <c r="P433" i="6"/>
  <c r="K433" i="6"/>
  <c r="E433" i="6"/>
  <c r="P432" i="6"/>
  <c r="K432" i="6"/>
  <c r="E432" i="6"/>
  <c r="P431" i="6"/>
  <c r="K431" i="6"/>
  <c r="E431" i="6"/>
  <c r="P430" i="6"/>
  <c r="K430" i="6"/>
  <c r="E430" i="6"/>
  <c r="P429" i="6"/>
  <c r="K429" i="6"/>
  <c r="E429" i="6"/>
  <c r="P428" i="6"/>
  <c r="K428" i="6"/>
  <c r="E428" i="6"/>
  <c r="P427" i="6"/>
  <c r="K427" i="6"/>
  <c r="E427" i="6"/>
  <c r="P426" i="6"/>
  <c r="K426" i="6"/>
  <c r="E426" i="6"/>
  <c r="P425" i="6"/>
  <c r="K425" i="6"/>
  <c r="E425" i="6"/>
  <c r="P424" i="6"/>
  <c r="K424" i="6"/>
  <c r="E424" i="6"/>
  <c r="P423" i="6"/>
  <c r="K423" i="6"/>
  <c r="E423" i="6"/>
  <c r="P422" i="6"/>
  <c r="K422" i="6"/>
  <c r="E422" i="6"/>
  <c r="P421" i="6"/>
  <c r="K421" i="6"/>
  <c r="E421" i="6"/>
  <c r="P420" i="6"/>
  <c r="K420" i="6"/>
  <c r="E420" i="6"/>
  <c r="P419" i="6"/>
  <c r="K419" i="6"/>
  <c r="E419" i="6"/>
  <c r="P418" i="6"/>
  <c r="K418" i="6"/>
  <c r="E418" i="6"/>
  <c r="P417" i="6"/>
  <c r="K417" i="6"/>
  <c r="E417" i="6"/>
  <c r="P416" i="6"/>
  <c r="K416" i="6"/>
  <c r="E416" i="6"/>
  <c r="P415" i="6"/>
  <c r="K415" i="6"/>
  <c r="E415" i="6"/>
  <c r="P414" i="6"/>
  <c r="K414" i="6"/>
  <c r="E414" i="6"/>
  <c r="P413" i="6"/>
  <c r="K413" i="6"/>
  <c r="E413" i="6"/>
  <c r="P412" i="6"/>
  <c r="K412" i="6"/>
  <c r="E412" i="6"/>
  <c r="P411" i="6"/>
  <c r="K411" i="6"/>
  <c r="E411" i="6"/>
  <c r="P410" i="6"/>
  <c r="K410" i="6"/>
  <c r="E410" i="6"/>
  <c r="P409" i="6"/>
  <c r="K409" i="6"/>
  <c r="E409" i="6"/>
  <c r="P408" i="6"/>
  <c r="K408" i="6"/>
  <c r="E408" i="6"/>
  <c r="P407" i="6"/>
  <c r="K407" i="6"/>
  <c r="E407" i="6"/>
  <c r="P406" i="6"/>
  <c r="K406" i="6"/>
  <c r="E406" i="6"/>
  <c r="P405" i="6"/>
  <c r="K405" i="6"/>
  <c r="E405" i="6"/>
  <c r="P404" i="6"/>
  <c r="K404" i="6"/>
  <c r="E404" i="6"/>
  <c r="P403" i="6"/>
  <c r="K403" i="6"/>
  <c r="E403" i="6"/>
  <c r="P402" i="6"/>
  <c r="K402" i="6"/>
  <c r="E402" i="6"/>
  <c r="P401" i="6"/>
  <c r="K401" i="6"/>
  <c r="E401" i="6"/>
  <c r="P400" i="6"/>
  <c r="K400" i="6"/>
  <c r="E400" i="6"/>
  <c r="P399" i="6"/>
  <c r="K399" i="6"/>
  <c r="E399" i="6"/>
  <c r="P398" i="6"/>
  <c r="K398" i="6"/>
  <c r="E398" i="6"/>
  <c r="P397" i="6"/>
  <c r="K397" i="6"/>
  <c r="E397" i="6"/>
  <c r="P396" i="6"/>
  <c r="K396" i="6"/>
  <c r="E396" i="6"/>
  <c r="P395" i="6"/>
  <c r="K395" i="6"/>
  <c r="E395" i="6"/>
  <c r="P394" i="6"/>
  <c r="K394" i="6"/>
  <c r="E394" i="6"/>
  <c r="P393" i="6"/>
  <c r="K393" i="6"/>
  <c r="E393" i="6"/>
  <c r="P392" i="6"/>
  <c r="K392" i="6"/>
  <c r="E392" i="6"/>
  <c r="P391" i="6"/>
  <c r="K391" i="6"/>
  <c r="E391" i="6"/>
  <c r="P390" i="6"/>
  <c r="K390" i="6"/>
  <c r="E390" i="6"/>
  <c r="P389" i="6"/>
  <c r="K389" i="6"/>
  <c r="E389" i="6"/>
  <c r="P388" i="6"/>
  <c r="K388" i="6"/>
  <c r="E388" i="6"/>
  <c r="P387" i="6"/>
  <c r="K387" i="6"/>
  <c r="E387" i="6"/>
  <c r="P386" i="6"/>
  <c r="K386" i="6"/>
  <c r="E386" i="6"/>
  <c r="P385" i="6"/>
  <c r="K385" i="6"/>
  <c r="E385" i="6"/>
  <c r="P384" i="6"/>
  <c r="K384" i="6"/>
  <c r="E384" i="6"/>
  <c r="P383" i="6"/>
  <c r="K383" i="6"/>
  <c r="E383" i="6"/>
  <c r="P382" i="6"/>
  <c r="K382" i="6"/>
  <c r="E382" i="6"/>
  <c r="P381" i="6"/>
  <c r="K381" i="6"/>
  <c r="E381" i="6"/>
  <c r="P380" i="6"/>
  <c r="K380" i="6"/>
  <c r="E380" i="6"/>
  <c r="P379" i="6"/>
  <c r="K379" i="6"/>
  <c r="E379" i="6"/>
  <c r="P378" i="6"/>
  <c r="K378" i="6"/>
  <c r="E378" i="6"/>
  <c r="P377" i="6"/>
  <c r="K377" i="6"/>
  <c r="E377" i="6"/>
  <c r="P376" i="6"/>
  <c r="K376" i="6"/>
  <c r="E376" i="6"/>
  <c r="P375" i="6"/>
  <c r="K375" i="6"/>
  <c r="E375" i="6"/>
  <c r="P374" i="6"/>
  <c r="K374" i="6"/>
  <c r="E374" i="6"/>
  <c r="P373" i="6"/>
  <c r="K373" i="6"/>
  <c r="E373" i="6"/>
  <c r="P372" i="6"/>
  <c r="K372" i="6"/>
  <c r="E372" i="6"/>
  <c r="P371" i="6"/>
  <c r="K371" i="6"/>
  <c r="E371" i="6"/>
  <c r="P370" i="6"/>
  <c r="K370" i="6"/>
  <c r="E370" i="6"/>
  <c r="P369" i="6"/>
  <c r="K369" i="6"/>
  <c r="E369" i="6"/>
  <c r="P368" i="6"/>
  <c r="K368" i="6"/>
  <c r="E368" i="6"/>
  <c r="P367" i="6"/>
  <c r="K367" i="6"/>
  <c r="E367" i="6"/>
  <c r="P366" i="6"/>
  <c r="K366" i="6"/>
  <c r="E366" i="6"/>
  <c r="P365" i="6"/>
  <c r="K365" i="6"/>
  <c r="E365" i="6"/>
  <c r="P364" i="6"/>
  <c r="K364" i="6"/>
  <c r="E364" i="6"/>
  <c r="P363" i="6"/>
  <c r="K363" i="6"/>
  <c r="E363" i="6"/>
  <c r="P362" i="6"/>
  <c r="K362" i="6"/>
  <c r="E362" i="6"/>
  <c r="P361" i="6"/>
  <c r="K361" i="6"/>
  <c r="E361" i="6"/>
  <c r="P360" i="6"/>
  <c r="K360" i="6"/>
  <c r="E360" i="6"/>
  <c r="P359" i="6"/>
  <c r="K359" i="6"/>
  <c r="E359" i="6"/>
  <c r="P358" i="6"/>
  <c r="K358" i="6"/>
  <c r="E358" i="6"/>
  <c r="P357" i="6"/>
  <c r="K357" i="6"/>
  <c r="E357" i="6"/>
  <c r="P356" i="6"/>
  <c r="K356" i="6"/>
  <c r="E356" i="6"/>
  <c r="P355" i="6"/>
  <c r="K355" i="6"/>
  <c r="E355" i="6"/>
  <c r="P354" i="6"/>
  <c r="K354" i="6"/>
  <c r="E354" i="6"/>
  <c r="P353" i="6"/>
  <c r="K353" i="6"/>
  <c r="E353" i="6"/>
  <c r="P352" i="6"/>
  <c r="K352" i="6"/>
  <c r="E352" i="6"/>
  <c r="P351" i="6"/>
  <c r="K351" i="6"/>
  <c r="E351" i="6"/>
  <c r="P350" i="6"/>
  <c r="K350" i="6"/>
  <c r="E350" i="6"/>
  <c r="P349" i="6"/>
  <c r="K349" i="6"/>
  <c r="E349" i="6"/>
  <c r="P348" i="6"/>
  <c r="K348" i="6"/>
  <c r="E348" i="6"/>
  <c r="P347" i="6"/>
  <c r="K347" i="6"/>
  <c r="E347" i="6"/>
  <c r="P346" i="6"/>
  <c r="K346" i="6"/>
  <c r="E346" i="6"/>
  <c r="P345" i="6"/>
  <c r="K345" i="6"/>
  <c r="E345" i="6"/>
  <c r="P344" i="6"/>
  <c r="K344" i="6"/>
  <c r="E344" i="6"/>
  <c r="P343" i="6"/>
  <c r="K343" i="6"/>
  <c r="E343" i="6"/>
  <c r="P342" i="6"/>
  <c r="K342" i="6"/>
  <c r="E342" i="6"/>
  <c r="P341" i="6"/>
  <c r="K341" i="6"/>
  <c r="E341" i="6"/>
  <c r="P340" i="6"/>
  <c r="K340" i="6"/>
  <c r="E340" i="6"/>
  <c r="P339" i="6"/>
  <c r="K339" i="6"/>
  <c r="E339" i="6"/>
  <c r="P338" i="6"/>
  <c r="K338" i="6"/>
  <c r="E338" i="6"/>
  <c r="P337" i="6"/>
  <c r="K337" i="6"/>
  <c r="E337" i="6"/>
  <c r="P336" i="6"/>
  <c r="K336" i="6"/>
  <c r="E336" i="6"/>
  <c r="P335" i="6"/>
  <c r="K335" i="6"/>
  <c r="E335" i="6"/>
  <c r="P334" i="6"/>
  <c r="K334" i="6"/>
  <c r="E334" i="6"/>
  <c r="P333" i="6"/>
  <c r="K333" i="6"/>
  <c r="E333" i="6"/>
  <c r="P332" i="6"/>
  <c r="K332" i="6"/>
  <c r="E332" i="6"/>
  <c r="P331" i="6"/>
  <c r="K331" i="6"/>
  <c r="E331" i="6"/>
  <c r="P330" i="6"/>
  <c r="K330" i="6"/>
  <c r="E330" i="6"/>
  <c r="P329" i="6"/>
  <c r="K329" i="6"/>
  <c r="E329" i="6"/>
  <c r="P328" i="6"/>
  <c r="K328" i="6"/>
  <c r="E328" i="6"/>
  <c r="P327" i="6"/>
  <c r="K327" i="6"/>
  <c r="E327" i="6"/>
  <c r="P326" i="6"/>
  <c r="K326" i="6"/>
  <c r="E326" i="6"/>
  <c r="P325" i="6"/>
  <c r="K325" i="6"/>
  <c r="E325" i="6"/>
  <c r="P324" i="6"/>
  <c r="K324" i="6"/>
  <c r="E324" i="6"/>
  <c r="P323" i="6"/>
  <c r="K323" i="6"/>
  <c r="E323" i="6"/>
  <c r="P322" i="6"/>
  <c r="K322" i="6"/>
  <c r="E322" i="6"/>
  <c r="P321" i="6"/>
  <c r="K321" i="6"/>
  <c r="E321" i="6"/>
  <c r="P320" i="6"/>
  <c r="K320" i="6"/>
  <c r="E320" i="6"/>
  <c r="P319" i="6"/>
  <c r="K319" i="6"/>
  <c r="E319" i="6"/>
  <c r="P318" i="6"/>
  <c r="K318" i="6"/>
  <c r="E318" i="6"/>
  <c r="P317" i="6"/>
  <c r="K317" i="6"/>
  <c r="E317" i="6"/>
  <c r="P316" i="6"/>
  <c r="K316" i="6"/>
  <c r="P315" i="6"/>
  <c r="K315" i="6"/>
  <c r="P314" i="6"/>
  <c r="K314" i="6"/>
  <c r="P313" i="6"/>
  <c r="K313" i="6"/>
  <c r="P312" i="6"/>
  <c r="K312" i="6"/>
  <c r="P311" i="6"/>
  <c r="K311" i="6"/>
  <c r="P310" i="6"/>
  <c r="K310" i="6"/>
  <c r="P309" i="6"/>
  <c r="K309" i="6"/>
  <c r="P308" i="6"/>
  <c r="K308" i="6"/>
  <c r="P307" i="6"/>
  <c r="K307" i="6"/>
  <c r="P306" i="6"/>
  <c r="K306" i="6"/>
  <c r="P305" i="6"/>
  <c r="K305" i="6"/>
  <c r="E305" i="6"/>
  <c r="P304" i="6"/>
  <c r="K304" i="6"/>
  <c r="E304" i="6"/>
  <c r="P303" i="6"/>
  <c r="K303" i="6"/>
  <c r="E303" i="6"/>
  <c r="P302" i="6"/>
  <c r="K302" i="6"/>
  <c r="E302" i="6"/>
  <c r="P301" i="6"/>
  <c r="K301" i="6"/>
  <c r="E301" i="6"/>
  <c r="P300" i="6"/>
  <c r="K300" i="6"/>
  <c r="E300" i="6"/>
  <c r="P299" i="6"/>
  <c r="K299" i="6"/>
  <c r="E299" i="6"/>
  <c r="P298" i="6"/>
  <c r="K298" i="6"/>
  <c r="E298" i="6"/>
  <c r="P297" i="6"/>
  <c r="K297" i="6"/>
  <c r="E297" i="6"/>
  <c r="P296" i="6"/>
  <c r="K296" i="6"/>
  <c r="E296" i="6"/>
  <c r="P295" i="6"/>
  <c r="K295" i="6"/>
  <c r="E295" i="6"/>
  <c r="P294" i="6"/>
  <c r="K294" i="6"/>
  <c r="E294" i="6"/>
  <c r="P293" i="6"/>
  <c r="K293" i="6"/>
  <c r="E293" i="6"/>
  <c r="P292" i="6"/>
  <c r="K292" i="6"/>
  <c r="E292" i="6"/>
  <c r="P291" i="6"/>
  <c r="K291" i="6"/>
  <c r="E291" i="6"/>
  <c r="P290" i="6"/>
  <c r="K290" i="6"/>
  <c r="E290" i="6"/>
  <c r="P289" i="6"/>
  <c r="K289" i="6"/>
  <c r="E289" i="6"/>
  <c r="P288" i="6"/>
  <c r="K288" i="6"/>
  <c r="E288" i="6"/>
  <c r="P287" i="6"/>
  <c r="K287" i="6"/>
  <c r="E287" i="6"/>
  <c r="P286" i="6"/>
  <c r="K286" i="6"/>
  <c r="E286" i="6"/>
  <c r="P285" i="6"/>
  <c r="K285" i="6"/>
  <c r="E285" i="6"/>
  <c r="P284" i="6"/>
  <c r="K284" i="6"/>
  <c r="E284" i="6"/>
  <c r="P283" i="6"/>
  <c r="K283" i="6"/>
  <c r="E283" i="6"/>
  <c r="P282" i="6"/>
  <c r="K282" i="6"/>
  <c r="E282" i="6"/>
  <c r="P281" i="6"/>
  <c r="K281" i="6"/>
  <c r="E281" i="6"/>
  <c r="P280" i="6"/>
  <c r="K280" i="6"/>
  <c r="E280" i="6"/>
  <c r="P279" i="6"/>
  <c r="K279" i="6"/>
  <c r="E279" i="6"/>
  <c r="P278" i="6"/>
  <c r="K278" i="6"/>
  <c r="P277" i="6"/>
  <c r="K277" i="6"/>
  <c r="P276" i="6"/>
  <c r="K276" i="6"/>
  <c r="P275" i="6"/>
  <c r="K275" i="6"/>
  <c r="P274" i="6"/>
  <c r="K274" i="6"/>
  <c r="P273" i="6"/>
  <c r="K273" i="6"/>
  <c r="P272" i="6"/>
  <c r="K272" i="6"/>
  <c r="P271" i="6"/>
  <c r="K271" i="6"/>
  <c r="P270" i="6"/>
  <c r="K270" i="6"/>
  <c r="P269" i="6"/>
  <c r="K269" i="6"/>
  <c r="P268" i="6"/>
  <c r="K268" i="6"/>
  <c r="P267" i="6"/>
  <c r="K267" i="6"/>
  <c r="P266" i="6"/>
  <c r="K266" i="6"/>
  <c r="P265" i="6"/>
  <c r="K265" i="6"/>
  <c r="P264" i="6"/>
  <c r="K264" i="6"/>
  <c r="P263" i="6"/>
  <c r="K263" i="6"/>
  <c r="P262" i="6"/>
  <c r="K262" i="6"/>
  <c r="P261" i="6"/>
  <c r="K261" i="6"/>
  <c r="P260" i="6"/>
  <c r="K260" i="6"/>
  <c r="P259" i="6"/>
  <c r="K259" i="6"/>
  <c r="P258" i="6"/>
  <c r="K258" i="6"/>
  <c r="P257" i="6"/>
  <c r="K257" i="6"/>
  <c r="P256" i="6"/>
  <c r="K256" i="6"/>
  <c r="P255" i="6"/>
  <c r="K255" i="6"/>
  <c r="P254" i="6"/>
  <c r="K254" i="6"/>
  <c r="P253" i="6"/>
  <c r="K253" i="6"/>
  <c r="P252" i="6"/>
  <c r="K252" i="6"/>
  <c r="P251" i="6"/>
  <c r="K251" i="6"/>
  <c r="E251" i="6"/>
  <c r="P250" i="6"/>
  <c r="K250" i="6"/>
  <c r="E250" i="6"/>
  <c r="P249" i="6"/>
  <c r="K249" i="6"/>
  <c r="E249" i="6"/>
  <c r="P248" i="6"/>
  <c r="K248" i="6"/>
  <c r="E248" i="6"/>
  <c r="P247" i="6"/>
  <c r="K247" i="6"/>
  <c r="E247" i="6"/>
  <c r="P246" i="6"/>
  <c r="K246" i="6"/>
  <c r="E246" i="6"/>
  <c r="P245" i="6"/>
  <c r="K245" i="6"/>
  <c r="E245" i="6"/>
  <c r="P244" i="6"/>
  <c r="K244" i="6"/>
  <c r="E244" i="6"/>
  <c r="P243" i="6"/>
  <c r="K243" i="6"/>
  <c r="E243" i="6"/>
  <c r="P242" i="6"/>
  <c r="K242" i="6"/>
  <c r="E242" i="6"/>
  <c r="P241" i="6"/>
  <c r="K241" i="6"/>
  <c r="E241" i="6"/>
  <c r="P240" i="6"/>
  <c r="K240" i="6"/>
  <c r="E240" i="6"/>
  <c r="P239" i="6"/>
  <c r="K239" i="6"/>
  <c r="E239" i="6"/>
  <c r="P238" i="6"/>
  <c r="K238" i="6"/>
  <c r="E238" i="6"/>
  <c r="P237" i="6"/>
  <c r="K237" i="6"/>
  <c r="E237" i="6"/>
  <c r="P236" i="6"/>
  <c r="K236" i="6"/>
  <c r="E236" i="6"/>
  <c r="P235" i="6"/>
  <c r="K235" i="6"/>
  <c r="E235" i="6"/>
  <c r="P234" i="6"/>
  <c r="K234" i="6"/>
  <c r="E234" i="6"/>
  <c r="P233" i="6"/>
  <c r="K233" i="6"/>
  <c r="E233" i="6"/>
  <c r="P232" i="6"/>
  <c r="K232" i="6"/>
  <c r="E232" i="6"/>
  <c r="P231" i="6"/>
  <c r="K231" i="6"/>
  <c r="E231" i="6"/>
  <c r="P230" i="6"/>
  <c r="K230" i="6"/>
  <c r="E230" i="6"/>
  <c r="P229" i="6"/>
  <c r="K229" i="6"/>
  <c r="E229" i="6"/>
  <c r="P228" i="6"/>
  <c r="K228" i="6"/>
  <c r="E228" i="6"/>
  <c r="P227" i="6"/>
  <c r="K227" i="6"/>
  <c r="E227" i="6"/>
  <c r="P226" i="6"/>
  <c r="K226" i="6"/>
  <c r="E226" i="6"/>
  <c r="P225" i="6"/>
  <c r="K225" i="6"/>
  <c r="E225" i="6"/>
  <c r="P224" i="6"/>
  <c r="K224" i="6"/>
  <c r="E224" i="6"/>
  <c r="P223" i="6"/>
  <c r="K223" i="6"/>
  <c r="E223" i="6"/>
  <c r="P222" i="6"/>
  <c r="K222" i="6"/>
  <c r="E222" i="6"/>
  <c r="P221" i="6"/>
  <c r="K221" i="6"/>
  <c r="E221" i="6"/>
  <c r="P220" i="6"/>
  <c r="K220" i="6"/>
  <c r="E220" i="6"/>
  <c r="P219" i="6"/>
  <c r="K219" i="6"/>
  <c r="E219" i="6"/>
  <c r="P218" i="6"/>
  <c r="K218" i="6"/>
  <c r="E218" i="6"/>
  <c r="P217" i="6"/>
  <c r="K217" i="6"/>
  <c r="E217" i="6"/>
  <c r="P216" i="6"/>
  <c r="K216" i="6"/>
  <c r="E216" i="6"/>
  <c r="P215" i="6"/>
  <c r="K215" i="6"/>
  <c r="E215" i="6"/>
  <c r="P214" i="6"/>
  <c r="K214" i="6"/>
  <c r="E214" i="6"/>
  <c r="P213" i="6"/>
  <c r="K213" i="6"/>
  <c r="E213" i="6"/>
  <c r="P212" i="6"/>
  <c r="K212" i="6"/>
  <c r="E212" i="6"/>
  <c r="P211" i="6"/>
  <c r="K211" i="6"/>
  <c r="E211" i="6"/>
  <c r="P210" i="6"/>
  <c r="K210" i="6"/>
  <c r="E210" i="6"/>
  <c r="P209" i="6"/>
  <c r="K209" i="6"/>
  <c r="E209" i="6"/>
  <c r="P208" i="6"/>
  <c r="K208" i="6"/>
  <c r="E208" i="6"/>
  <c r="P207" i="6"/>
  <c r="K207" i="6"/>
  <c r="E207" i="6"/>
  <c r="P206" i="6"/>
  <c r="K206" i="6"/>
  <c r="E206" i="6"/>
  <c r="P205" i="6"/>
  <c r="K205" i="6"/>
  <c r="E205" i="6"/>
  <c r="P204" i="6"/>
  <c r="K204" i="6"/>
  <c r="E204" i="6"/>
  <c r="P203" i="6"/>
  <c r="K203" i="6"/>
  <c r="E203" i="6"/>
  <c r="P202" i="6"/>
  <c r="K202" i="6"/>
  <c r="P201" i="6"/>
  <c r="K201" i="6"/>
  <c r="P200" i="6"/>
  <c r="K200" i="6"/>
  <c r="P199" i="6"/>
  <c r="K199" i="6"/>
  <c r="P198" i="6"/>
  <c r="K198" i="6"/>
  <c r="E198" i="6"/>
  <c r="P197" i="6"/>
  <c r="K197" i="6"/>
  <c r="E197" i="6"/>
  <c r="P196" i="6"/>
  <c r="K196" i="6"/>
  <c r="E196" i="6"/>
  <c r="P195" i="6"/>
  <c r="K195" i="6"/>
  <c r="E195" i="6"/>
  <c r="P194" i="6"/>
  <c r="K194" i="6"/>
  <c r="E194" i="6"/>
  <c r="P193" i="6"/>
  <c r="K193" i="6"/>
  <c r="E193" i="6"/>
  <c r="P192" i="6"/>
  <c r="K192" i="6"/>
  <c r="E192" i="6"/>
  <c r="P191" i="6"/>
  <c r="K191" i="6"/>
  <c r="E191" i="6"/>
  <c r="P190" i="6"/>
  <c r="K190" i="6"/>
  <c r="E190" i="6"/>
  <c r="P189" i="6"/>
  <c r="K189" i="6"/>
  <c r="E189" i="6"/>
  <c r="P188" i="6"/>
  <c r="K188" i="6"/>
  <c r="E188" i="6"/>
  <c r="P187" i="6"/>
  <c r="K187" i="6"/>
  <c r="E187" i="6"/>
  <c r="P186" i="6"/>
  <c r="K186" i="6"/>
  <c r="E186" i="6"/>
  <c r="P185" i="6"/>
  <c r="K185" i="6"/>
  <c r="E185" i="6"/>
  <c r="P184" i="6"/>
  <c r="K184" i="6"/>
  <c r="E184" i="6"/>
  <c r="P183" i="6"/>
  <c r="K183" i="6"/>
  <c r="E183" i="6"/>
  <c r="P182" i="6"/>
  <c r="K182" i="6"/>
  <c r="E182" i="6"/>
  <c r="P181" i="6"/>
  <c r="K181" i="6"/>
  <c r="E181" i="6"/>
  <c r="P180" i="6"/>
  <c r="K180" i="6"/>
  <c r="E180" i="6"/>
  <c r="P179" i="6"/>
  <c r="K179" i="6"/>
  <c r="E179" i="6"/>
  <c r="P178" i="6"/>
  <c r="K178" i="6"/>
  <c r="E178" i="6"/>
  <c r="P177" i="6"/>
  <c r="K177" i="6"/>
  <c r="E177" i="6"/>
  <c r="P176" i="6"/>
  <c r="K176" i="6"/>
  <c r="E176" i="6"/>
  <c r="P175" i="6"/>
  <c r="K175" i="6"/>
  <c r="E175" i="6"/>
  <c r="P174" i="6"/>
  <c r="K174" i="6"/>
  <c r="E174" i="6"/>
  <c r="P173" i="6"/>
  <c r="K173" i="6"/>
  <c r="E173" i="6"/>
  <c r="P172" i="6"/>
  <c r="K172" i="6"/>
  <c r="E172" i="6"/>
  <c r="P171" i="6"/>
  <c r="K171" i="6"/>
  <c r="E171" i="6"/>
  <c r="P170" i="6"/>
  <c r="K170" i="6"/>
  <c r="E170" i="6"/>
  <c r="P169" i="6"/>
  <c r="K169" i="6"/>
  <c r="E169" i="6"/>
  <c r="P168" i="6"/>
  <c r="K168" i="6"/>
  <c r="E168" i="6"/>
  <c r="P167" i="6"/>
  <c r="K167" i="6"/>
  <c r="E167" i="6"/>
  <c r="P166" i="6"/>
  <c r="K166" i="6"/>
  <c r="E166" i="6"/>
  <c r="P165" i="6"/>
  <c r="K165" i="6"/>
  <c r="E165" i="6"/>
  <c r="P164" i="6"/>
  <c r="K164" i="6"/>
  <c r="E164" i="6"/>
  <c r="P163" i="6"/>
  <c r="K163" i="6"/>
  <c r="E163" i="6"/>
  <c r="P162" i="6"/>
  <c r="K162" i="6"/>
  <c r="E162" i="6"/>
  <c r="P161" i="6"/>
  <c r="K161" i="6"/>
  <c r="E161" i="6"/>
  <c r="P160" i="6"/>
  <c r="K160" i="6"/>
  <c r="E160" i="6"/>
  <c r="P159" i="6"/>
  <c r="K159" i="6"/>
  <c r="E159" i="6"/>
  <c r="P158" i="6"/>
  <c r="K158" i="6"/>
  <c r="E158" i="6"/>
  <c r="P157" i="6"/>
  <c r="K157" i="6"/>
  <c r="E157" i="6"/>
  <c r="P156" i="6"/>
  <c r="K156" i="6"/>
  <c r="E156" i="6"/>
  <c r="P155" i="6"/>
  <c r="K155" i="6"/>
  <c r="E155" i="6"/>
  <c r="P154" i="6"/>
  <c r="K154" i="6"/>
  <c r="E154" i="6"/>
  <c r="P153" i="6"/>
  <c r="K153" i="6"/>
  <c r="E153" i="6"/>
  <c r="P152" i="6"/>
  <c r="K152" i="6"/>
  <c r="E152" i="6"/>
  <c r="P151" i="6"/>
  <c r="K151" i="6"/>
  <c r="E151" i="6"/>
  <c r="P150" i="6"/>
  <c r="K150" i="6"/>
  <c r="E150" i="6"/>
  <c r="P149" i="6"/>
  <c r="K149" i="6"/>
  <c r="E149" i="6"/>
  <c r="P148" i="6"/>
  <c r="K148" i="6"/>
  <c r="E148" i="6"/>
  <c r="P147" i="6"/>
  <c r="K147" i="6"/>
  <c r="E147" i="6"/>
  <c r="P146" i="6"/>
  <c r="K146" i="6"/>
  <c r="E146" i="6"/>
  <c r="P145" i="6"/>
  <c r="K145" i="6"/>
  <c r="E145" i="6"/>
  <c r="P144" i="6"/>
  <c r="K144" i="6"/>
  <c r="E144" i="6"/>
  <c r="P143" i="6"/>
  <c r="K143" i="6"/>
  <c r="E143" i="6"/>
  <c r="P142" i="6"/>
  <c r="K142" i="6"/>
  <c r="E142" i="6"/>
  <c r="P141" i="6"/>
  <c r="K141" i="6"/>
  <c r="E141" i="6"/>
  <c r="P140" i="6"/>
  <c r="K140" i="6"/>
  <c r="E140" i="6"/>
  <c r="P139" i="6"/>
  <c r="K139" i="6"/>
  <c r="E139" i="6"/>
  <c r="P138" i="6"/>
  <c r="K138" i="6"/>
  <c r="E138" i="6"/>
  <c r="P137" i="6"/>
  <c r="K137" i="6"/>
  <c r="E137" i="6"/>
  <c r="P136" i="6"/>
  <c r="K136" i="6"/>
  <c r="E136" i="6"/>
  <c r="P135" i="6"/>
  <c r="K135" i="6"/>
  <c r="E135" i="6"/>
  <c r="P134" i="6"/>
  <c r="K134" i="6"/>
  <c r="E134" i="6"/>
  <c r="P133" i="6"/>
  <c r="K133" i="6"/>
  <c r="E133" i="6"/>
  <c r="P132" i="6"/>
  <c r="K132" i="6"/>
  <c r="E132" i="6"/>
  <c r="P131" i="6"/>
  <c r="K131" i="6"/>
  <c r="E131" i="6"/>
  <c r="P130" i="6"/>
  <c r="K130" i="6"/>
  <c r="E130" i="6"/>
  <c r="P129" i="6"/>
  <c r="K129" i="6"/>
  <c r="E129" i="6"/>
  <c r="P128" i="6"/>
  <c r="K128" i="6"/>
  <c r="E128" i="6"/>
  <c r="P127" i="6"/>
  <c r="K127" i="6"/>
  <c r="E127" i="6"/>
  <c r="P126" i="6"/>
  <c r="K126" i="6"/>
  <c r="E126" i="6"/>
  <c r="P125" i="6"/>
  <c r="K125" i="6"/>
  <c r="E125" i="6"/>
  <c r="P124" i="6"/>
  <c r="K124" i="6"/>
  <c r="E124" i="6"/>
  <c r="P123" i="6"/>
  <c r="K123" i="6"/>
  <c r="E123" i="6"/>
  <c r="P122" i="6"/>
  <c r="K122" i="6"/>
  <c r="E122" i="6"/>
  <c r="P121" i="6"/>
  <c r="K121" i="6"/>
  <c r="E121" i="6"/>
  <c r="P120" i="6"/>
  <c r="K120" i="6"/>
  <c r="E120" i="6"/>
  <c r="P119" i="6"/>
  <c r="K119" i="6"/>
  <c r="E119" i="6"/>
  <c r="P118" i="6"/>
  <c r="K118" i="6"/>
  <c r="E118" i="6"/>
  <c r="P117" i="6"/>
  <c r="K117" i="6"/>
  <c r="E117" i="6"/>
  <c r="P116" i="6"/>
  <c r="K116" i="6"/>
  <c r="E116" i="6"/>
  <c r="P115" i="6"/>
  <c r="K115" i="6"/>
  <c r="E115" i="6"/>
  <c r="P114" i="6"/>
  <c r="K114" i="6"/>
  <c r="E114" i="6"/>
  <c r="P113" i="6"/>
  <c r="K113" i="6"/>
  <c r="E113" i="6"/>
  <c r="P112" i="6"/>
  <c r="K112" i="6"/>
  <c r="E112" i="6"/>
  <c r="P111" i="6"/>
  <c r="K111" i="6"/>
  <c r="E111" i="6"/>
  <c r="P110" i="6"/>
  <c r="K110" i="6"/>
  <c r="E110" i="6"/>
  <c r="P109" i="6"/>
  <c r="K109" i="6"/>
  <c r="E109" i="6"/>
  <c r="P108" i="6"/>
  <c r="K108" i="6"/>
  <c r="E108" i="6"/>
  <c r="P107" i="6"/>
  <c r="K107" i="6"/>
  <c r="E107" i="6"/>
  <c r="P106" i="6"/>
  <c r="K106" i="6"/>
  <c r="E106" i="6"/>
  <c r="P105" i="6"/>
  <c r="K105" i="6"/>
  <c r="E105" i="6"/>
  <c r="P104" i="6"/>
  <c r="K104" i="6"/>
  <c r="E104" i="6"/>
  <c r="P103" i="6"/>
  <c r="K103" i="6"/>
  <c r="E103" i="6"/>
  <c r="P102" i="6"/>
  <c r="K102" i="6"/>
  <c r="E102" i="6"/>
  <c r="P101" i="6"/>
  <c r="K101" i="6"/>
  <c r="E101" i="6"/>
  <c r="P100" i="6"/>
  <c r="K100" i="6"/>
  <c r="E100" i="6"/>
  <c r="P99" i="6"/>
  <c r="K99" i="6"/>
  <c r="E99" i="6"/>
  <c r="P98" i="6"/>
  <c r="K98" i="6"/>
  <c r="E98" i="6"/>
  <c r="P97" i="6"/>
  <c r="K97" i="6"/>
  <c r="E97" i="6"/>
  <c r="P96" i="6"/>
  <c r="K96" i="6"/>
  <c r="E96" i="6"/>
  <c r="P95" i="6"/>
  <c r="K95" i="6"/>
  <c r="E95" i="6"/>
  <c r="P94" i="6"/>
  <c r="K94" i="6"/>
  <c r="E94" i="6"/>
  <c r="P93" i="6"/>
  <c r="K93" i="6"/>
  <c r="E93" i="6"/>
  <c r="P92" i="6"/>
  <c r="K92" i="6"/>
  <c r="E92" i="6"/>
  <c r="P91" i="6"/>
  <c r="K91" i="6"/>
  <c r="E91" i="6"/>
  <c r="P90" i="6"/>
  <c r="K90" i="6"/>
  <c r="E90" i="6"/>
  <c r="P89" i="6"/>
  <c r="K89" i="6"/>
  <c r="E89" i="6"/>
  <c r="P88" i="6"/>
  <c r="K88" i="6"/>
  <c r="E88" i="6"/>
  <c r="P87" i="6"/>
  <c r="K87" i="6"/>
  <c r="E87" i="6"/>
  <c r="P86" i="6"/>
  <c r="K86" i="6"/>
  <c r="E86" i="6"/>
  <c r="P85" i="6"/>
  <c r="K85" i="6"/>
  <c r="E85" i="6"/>
  <c r="P84" i="6"/>
  <c r="K84" i="6"/>
  <c r="E84" i="6"/>
  <c r="P83" i="6"/>
  <c r="K83" i="6"/>
  <c r="E83" i="6"/>
  <c r="P82" i="6"/>
  <c r="K82" i="6"/>
  <c r="E82" i="6"/>
  <c r="P81" i="6"/>
  <c r="K81" i="6"/>
  <c r="E81" i="6"/>
  <c r="P80" i="6"/>
  <c r="K80" i="6"/>
  <c r="E80" i="6"/>
  <c r="P79" i="6"/>
  <c r="K79" i="6"/>
  <c r="E79" i="6"/>
  <c r="P78" i="6"/>
  <c r="K78" i="6"/>
  <c r="E78" i="6"/>
  <c r="P77" i="6"/>
  <c r="K77" i="6"/>
  <c r="E77" i="6"/>
  <c r="P76" i="6"/>
  <c r="K76" i="6"/>
  <c r="E76" i="6"/>
  <c r="P75" i="6"/>
  <c r="K75" i="6"/>
  <c r="E75" i="6"/>
  <c r="P74" i="6"/>
  <c r="K74" i="6"/>
  <c r="E74" i="6"/>
  <c r="P73" i="6"/>
  <c r="K73" i="6"/>
  <c r="E73" i="6"/>
  <c r="P72" i="6"/>
  <c r="K72" i="6"/>
  <c r="E72" i="6"/>
  <c r="P71" i="6"/>
  <c r="K71" i="6"/>
  <c r="E71" i="6"/>
  <c r="P70" i="6"/>
  <c r="K70" i="6"/>
  <c r="E70" i="6"/>
  <c r="P69" i="6"/>
  <c r="K69" i="6"/>
  <c r="E69" i="6"/>
  <c r="P68" i="6"/>
  <c r="K68" i="6"/>
  <c r="E68" i="6"/>
  <c r="P67" i="6"/>
  <c r="K67" i="6"/>
  <c r="E67" i="6"/>
  <c r="P66" i="6"/>
  <c r="K66" i="6"/>
  <c r="E66" i="6"/>
  <c r="P65" i="6"/>
  <c r="K65" i="6"/>
  <c r="E65" i="6"/>
  <c r="P64" i="6"/>
  <c r="K64" i="6"/>
  <c r="E64" i="6"/>
  <c r="P63" i="6"/>
  <c r="K63" i="6"/>
  <c r="E63" i="6"/>
  <c r="P62" i="6"/>
  <c r="K62" i="6"/>
  <c r="E62" i="6"/>
  <c r="P61" i="6"/>
  <c r="K61" i="6"/>
  <c r="E61" i="6"/>
  <c r="P60" i="6"/>
  <c r="K60" i="6"/>
  <c r="E60" i="6"/>
  <c r="P59" i="6"/>
  <c r="K59" i="6"/>
  <c r="E59" i="6"/>
  <c r="P58" i="6"/>
  <c r="K58" i="6"/>
  <c r="E58" i="6"/>
  <c r="P57" i="6"/>
  <c r="K57" i="6"/>
  <c r="E57" i="6"/>
  <c r="P56" i="6"/>
  <c r="K56" i="6"/>
  <c r="E56" i="6"/>
  <c r="P55" i="6"/>
  <c r="K55" i="6"/>
  <c r="E55" i="6"/>
  <c r="P54" i="6"/>
  <c r="K54" i="6"/>
  <c r="E54" i="6"/>
  <c r="P53" i="6"/>
  <c r="K53" i="6"/>
  <c r="E53" i="6"/>
  <c r="P52" i="6"/>
  <c r="K52" i="6"/>
  <c r="E52" i="6"/>
  <c r="P51" i="6"/>
  <c r="K51" i="6"/>
  <c r="E51" i="6"/>
  <c r="P50" i="6"/>
  <c r="K50" i="6"/>
  <c r="E50" i="6"/>
  <c r="P49" i="6"/>
  <c r="K49" i="6"/>
  <c r="E49" i="6"/>
  <c r="P48" i="6"/>
  <c r="K48" i="6"/>
  <c r="E48" i="6"/>
  <c r="P47" i="6"/>
  <c r="K47" i="6"/>
  <c r="E47" i="6"/>
  <c r="P46" i="6"/>
  <c r="K46" i="6"/>
  <c r="E46" i="6"/>
  <c r="P45" i="6"/>
  <c r="K45" i="6"/>
  <c r="E45" i="6"/>
  <c r="P44" i="6"/>
  <c r="K44" i="6"/>
  <c r="E44" i="6"/>
  <c r="P43" i="6"/>
  <c r="K43" i="6"/>
  <c r="E43" i="6"/>
  <c r="P42" i="6"/>
  <c r="K42" i="6"/>
  <c r="E42" i="6"/>
  <c r="P41" i="6"/>
  <c r="K41" i="6"/>
  <c r="E41" i="6"/>
  <c r="P40" i="6"/>
  <c r="K40" i="6"/>
  <c r="E40" i="6"/>
  <c r="P39" i="6"/>
  <c r="K39" i="6"/>
  <c r="E39" i="6"/>
  <c r="P38" i="6"/>
  <c r="K38" i="6"/>
  <c r="E38" i="6"/>
  <c r="P37" i="6"/>
  <c r="K37" i="6"/>
  <c r="E37" i="6"/>
  <c r="P36" i="6"/>
  <c r="K36" i="6"/>
  <c r="E36" i="6"/>
  <c r="P35" i="6"/>
  <c r="K35" i="6"/>
  <c r="E35" i="6"/>
  <c r="P34" i="6"/>
  <c r="K34" i="6"/>
  <c r="E34" i="6"/>
  <c r="P33" i="6"/>
  <c r="K33" i="6"/>
  <c r="E33" i="6"/>
  <c r="P32" i="6"/>
  <c r="K32" i="6"/>
  <c r="E32" i="6"/>
  <c r="P31" i="6"/>
  <c r="K31" i="6"/>
  <c r="E31" i="6"/>
  <c r="P30" i="6"/>
  <c r="K30" i="6"/>
  <c r="E30" i="6"/>
  <c r="P29" i="6"/>
  <c r="K29" i="6"/>
  <c r="E29" i="6"/>
  <c r="P28" i="6"/>
  <c r="K28" i="6"/>
  <c r="E28" i="6"/>
  <c r="P27" i="6"/>
  <c r="K27" i="6"/>
  <c r="E27" i="6"/>
  <c r="P26" i="6"/>
  <c r="K26" i="6"/>
  <c r="E26" i="6"/>
  <c r="P25" i="6"/>
  <c r="K25" i="6"/>
  <c r="E25" i="6"/>
  <c r="P24" i="6"/>
  <c r="K24" i="6"/>
  <c r="E24" i="6"/>
  <c r="P23" i="6"/>
  <c r="K23" i="6"/>
  <c r="E23" i="6"/>
  <c r="P22" i="6"/>
  <c r="K22" i="6"/>
  <c r="E22" i="6"/>
  <c r="P21" i="6"/>
  <c r="K21" i="6"/>
  <c r="E21" i="6"/>
  <c r="P20" i="6"/>
  <c r="K20" i="6"/>
  <c r="E20" i="6"/>
  <c r="P19" i="6"/>
  <c r="K19" i="6"/>
  <c r="E19" i="6"/>
  <c r="P18" i="6"/>
  <c r="K18" i="6"/>
  <c r="E18" i="6"/>
  <c r="P17" i="6"/>
  <c r="K17" i="6"/>
  <c r="E17" i="6"/>
  <c r="P16" i="6"/>
  <c r="K16" i="6"/>
  <c r="E16" i="6"/>
  <c r="P15" i="6"/>
  <c r="K15" i="6"/>
  <c r="E15" i="6"/>
  <c r="P14" i="6"/>
  <c r="K14" i="6"/>
  <c r="E14" i="6"/>
  <c r="P13" i="6"/>
  <c r="K13" i="6"/>
  <c r="E13" i="6"/>
  <c r="P12" i="6"/>
  <c r="K12" i="6"/>
  <c r="E12" i="6"/>
  <c r="P11" i="6"/>
  <c r="K11" i="6"/>
  <c r="E11" i="6"/>
  <c r="P10" i="6"/>
  <c r="K10" i="6"/>
  <c r="E10" i="6"/>
  <c r="P9" i="6"/>
  <c r="K9" i="6"/>
  <c r="E9" i="6"/>
  <c r="P8" i="6"/>
  <c r="K8" i="6"/>
  <c r="E8" i="6"/>
  <c r="P7" i="6"/>
  <c r="K7" i="6"/>
  <c r="E7" i="6"/>
  <c r="P6" i="6"/>
  <c r="K6" i="6"/>
  <c r="E6" i="6"/>
  <c r="P5" i="6"/>
  <c r="K5" i="6"/>
  <c r="E5" i="6"/>
  <c r="P4" i="6"/>
  <c r="K4" i="6"/>
  <c r="E4" i="6"/>
  <c r="P3" i="6"/>
  <c r="K3" i="6"/>
  <c r="E3" i="6"/>
  <c r="P2" i="6"/>
  <c r="K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<sst xmlns="http://schemas.openxmlformats.org/spreadsheetml/2006/main" count="37855" uniqueCount="3959">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</sst>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5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AA82">
            <v>76</v>
          </cell>
        </row>
        <row r="83">
          <cell r="AA83">
            <v>77</v>
          </cell>
        </row>
        <row r="84"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AA107">
            <v>101</v>
          </cell>
        </row>
        <row r="108"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AA260">
            <v>254</v>
          </cell>
        </row>
        <row r="261">
          <cell r="AA261">
            <v>255</v>
          </cell>
        </row>
        <row r="262"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AA334">
            <v>328</v>
          </cell>
        </row>
        <row r="335"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AA440">
            <v>434</v>
          </cell>
        </row>
        <row r="441">
          <cell r="AA441">
            <v>435</v>
          </cell>
        </row>
        <row r="442"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AA534">
            <v>528</v>
          </cell>
        </row>
        <row r="535"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AA564">
            <v>558</v>
          </cell>
        </row>
        <row r="565"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AA577">
            <v>571</v>
          </cell>
        </row>
        <row r="578"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AA700">
            <v>694</v>
          </cell>
        </row>
        <row r="701"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AA795">
            <v>789</v>
          </cell>
        </row>
        <row r="796">
          <cell r="AA796">
            <v>790</v>
          </cell>
        </row>
        <row r="797"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AA806">
            <v>800</v>
          </cell>
        </row>
        <row r="807"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AA815">
            <v>809</v>
          </cell>
        </row>
        <row r="816"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AA821">
            <v>815</v>
          </cell>
        </row>
        <row r="822">
          <cell r="AA822">
            <v>816</v>
          </cell>
        </row>
        <row r="823"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AA914">
            <v>908</v>
          </cell>
        </row>
        <row r="915"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AA922">
            <v>916</v>
          </cell>
        </row>
        <row r="923">
          <cell r="AA923">
            <v>917</v>
          </cell>
        </row>
        <row r="924"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AA927">
            <v>921</v>
          </cell>
        </row>
        <row r="928"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AA940">
            <v>934</v>
          </cell>
        </row>
        <row r="941"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AA947">
            <v>941</v>
          </cell>
        </row>
        <row r="948"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AA1003">
            <v>997</v>
          </cell>
        </row>
        <row r="1004"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AA1021">
            <v>1015</v>
          </cell>
        </row>
        <row r="1022"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AA1073">
            <v>1067</v>
          </cell>
        </row>
        <row r="1074"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AA1125">
            <v>1119</v>
          </cell>
        </row>
        <row r="1126"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7"/>
    <tableColumn id="3" xr3:uid="{DA46F787-2B54-499B-ADBB-AF0F616BA16B}" name="EquipmentName" dataDxfId="36"/>
    <tableColumn id="4" xr3:uid="{ED80F4AC-616B-4890-8AFA-1984620137A4}" name="HireRateWeekly"/>
    <tableColumn id="5" xr3:uid="{99C2B94B-8AA2-4BFA-8714-6B1B7C71D090}" name="GroupName" dataDxfId="35"/>
    <tableColumn id="6" xr3:uid="{19DA14FB-1BDB-4CE1-BD6C-D915BE5FAD8A}" name="Sub Section" dataDxfId="34"/>
    <tableColumn id="7" xr3:uid="{0CE04579-9A40-4B4D-A58B-C5A3E812CBCB}" name="Max Discount" dataDxfId="33"/>
    <tableColumn id="8" xr3:uid="{652F2B14-F093-4CEA-B325-3B4CC612FED5}" name="Include" dataDxfId="32"/>
    <tableColumn id="9" xr3:uid="{5346C8B6-E19D-41CC-9DE3-C7990E2E9479}" name="Order" dataDxfId="3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Q1299"/>
  <sheetViews>
    <sheetView tabSelected="1" workbookViewId="0">
      <pane ySplit="1" topLeftCell="A2" activePane="bottomLeft" state="frozen"/>
      <selection pane="bottomLeft" activeCell="B18" sqref="B18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6" width="16.7109375" customWidth="1"/>
    <col min="8" max="8" width="6.42578125" customWidth="1"/>
    <col min="9" max="9" width="5.5703125" style="192" customWidth="1"/>
    <col min="10" max="10" width="6.7109375" style="192" customWidth="1"/>
    <col min="11" max="11" width="8.140625" style="188" customWidth="1"/>
    <col min="12" max="12" width="14.28515625" style="188" customWidth="1"/>
    <col min="13" max="13" width="69.140625" style="188" customWidth="1"/>
    <col min="14" max="14" width="25" style="188" customWidth="1"/>
    <col min="17" max="17" width="9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t="s">
        <v>6</v>
      </c>
      <c r="H1" t="s">
        <v>7</v>
      </c>
      <c r="I1" s="191" t="s">
        <v>8</v>
      </c>
      <c r="J1" s="191" t="s">
        <v>9</v>
      </c>
      <c r="K1" s="188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</row>
    <row r="2" spans="1:17" x14ac:dyDescent="0.25">
      <c r="A2" t="s">
        <v>197</v>
      </c>
      <c r="B2" t="s">
        <v>198</v>
      </c>
      <c r="C2">
        <v>34.78</v>
      </c>
      <c r="D2" t="s">
        <v>19</v>
      </c>
      <c r="E2" t="str">
        <f>CONCATENATE(J2,". ",N2)</f>
        <v>01. Non-powered Access</v>
      </c>
      <c r="F2">
        <v>75</v>
      </c>
      <c r="G2" t="b">
        <v>0</v>
      </c>
      <c r="H2">
        <v>0</v>
      </c>
      <c r="I2" s="193" t="s">
        <v>20</v>
      </c>
      <c r="J2" s="193" t="s">
        <v>20</v>
      </c>
      <c r="K2" s="188">
        <f>IFERROR(_xlfn.XLOOKUP(A2,[1]Fleet!A:A,[1]Fleet!E:E,""),"")</f>
        <v>32</v>
      </c>
      <c r="L2" s="188" t="s">
        <v>76</v>
      </c>
      <c r="M2" s="188" t="s">
        <v>76</v>
      </c>
      <c r="N2" s="188" t="s">
        <v>196</v>
      </c>
      <c r="O2">
        <v>4</v>
      </c>
      <c r="P2">
        <f>_xlfn.XLOOKUP(A2,'[1]Classic Net to delete'!D:D,'[1]Classic Net to delete'!AA:AA,0)</f>
        <v>0</v>
      </c>
    </row>
    <row r="3" spans="1:17" x14ac:dyDescent="0.25">
      <c r="A3" t="s">
        <v>235</v>
      </c>
      <c r="B3" t="s">
        <v>236</v>
      </c>
      <c r="C3" t="s">
        <v>76</v>
      </c>
      <c r="D3" t="s">
        <v>19</v>
      </c>
      <c r="E3" t="str">
        <f>CONCATENATE(J3,". ",N3)</f>
        <v>01. Non-powered Access</v>
      </c>
      <c r="F3">
        <v>75</v>
      </c>
      <c r="G3" t="b">
        <v>0</v>
      </c>
      <c r="H3">
        <v>0</v>
      </c>
      <c r="I3" s="193" t="s">
        <v>20</v>
      </c>
      <c r="J3" s="193" t="s">
        <v>20</v>
      </c>
      <c r="K3" s="188" t="str">
        <f>IFERROR(_xlfn.XLOOKUP(A3,[1]Fleet!A:A,[1]Fleet!E:E,""),"")</f>
        <v/>
      </c>
      <c r="L3" s="188" t="s">
        <v>76</v>
      </c>
      <c r="M3" s="188" t="s">
        <v>76</v>
      </c>
      <c r="N3" s="188" t="s">
        <v>196</v>
      </c>
      <c r="O3">
        <v>6</v>
      </c>
      <c r="P3">
        <f>_xlfn.XLOOKUP(A3,'[1]Classic Net to delete'!D:D,'[1]Classic Net to delete'!AA:AA,0)</f>
        <v>0</v>
      </c>
    </row>
    <row r="4" spans="1:17" x14ac:dyDescent="0.25">
      <c r="A4" t="s">
        <v>271</v>
      </c>
      <c r="B4" t="s">
        <v>272</v>
      </c>
      <c r="C4">
        <v>213.63</v>
      </c>
      <c r="D4" t="s">
        <v>19</v>
      </c>
      <c r="E4" t="str">
        <f>CONCATENATE(J4,". ",N4)</f>
        <v>01. Non-powered Access</v>
      </c>
      <c r="F4">
        <v>75</v>
      </c>
      <c r="G4" t="b">
        <v>1</v>
      </c>
      <c r="H4">
        <v>0</v>
      </c>
      <c r="I4" s="193" t="s">
        <v>20</v>
      </c>
      <c r="J4" s="193" t="s">
        <v>20</v>
      </c>
      <c r="K4" s="188">
        <f>IFERROR(_xlfn.XLOOKUP(A4,[1]Fleet!A:A,[1]Fleet!E:E,""),"")</f>
        <v>19</v>
      </c>
      <c r="L4" s="188" t="s">
        <v>76</v>
      </c>
      <c r="M4" s="188" t="s">
        <v>76</v>
      </c>
      <c r="N4" s="188" t="s">
        <v>196</v>
      </c>
      <c r="O4">
        <v>9</v>
      </c>
      <c r="P4">
        <f>_xlfn.XLOOKUP(A4,'[1]Classic Net to delete'!D:D,'[1]Classic Net to delete'!AA:AA,0)</f>
        <v>0</v>
      </c>
    </row>
    <row r="5" spans="1:17" x14ac:dyDescent="0.25">
      <c r="A5" t="s">
        <v>273</v>
      </c>
      <c r="B5" t="s">
        <v>274</v>
      </c>
      <c r="C5">
        <v>34.78</v>
      </c>
      <c r="D5" t="s">
        <v>19</v>
      </c>
      <c r="E5" t="str">
        <f>CONCATENATE(J5,". ",N5)</f>
        <v>01. Non-powered Access</v>
      </c>
      <c r="F5">
        <v>75</v>
      </c>
      <c r="G5" t="b">
        <v>1</v>
      </c>
      <c r="H5">
        <v>0</v>
      </c>
      <c r="I5" s="193" t="s">
        <v>20</v>
      </c>
      <c r="J5" s="193" t="s">
        <v>20</v>
      </c>
      <c r="K5" s="188">
        <f>IFERROR(_xlfn.XLOOKUP(A5,[1]Fleet!A:A,[1]Fleet!E:E,""),"")</f>
        <v>10</v>
      </c>
      <c r="L5" s="188" t="s">
        <v>76</v>
      </c>
      <c r="M5" s="188" t="s">
        <v>76</v>
      </c>
      <c r="N5" s="188" t="s">
        <v>196</v>
      </c>
      <c r="O5">
        <v>10</v>
      </c>
      <c r="P5">
        <f>_xlfn.XLOOKUP(A5,'[1]Classic Net to delete'!D:D,'[1]Classic Net to delete'!AA:AA,0)</f>
        <v>0</v>
      </c>
    </row>
    <row r="6" spans="1:17" x14ac:dyDescent="0.25">
      <c r="A6" t="s">
        <v>261</v>
      </c>
      <c r="B6" t="s">
        <v>262</v>
      </c>
      <c r="C6">
        <v>194.77</v>
      </c>
      <c r="D6" t="s">
        <v>19</v>
      </c>
      <c r="E6" t="str">
        <f>CONCATENATE(J6,". ",N6)</f>
        <v>01. Non-powered Access</v>
      </c>
      <c r="F6">
        <v>75</v>
      </c>
      <c r="G6" t="b">
        <v>1</v>
      </c>
      <c r="H6" s="194" t="s">
        <v>263</v>
      </c>
      <c r="I6" s="193" t="s">
        <v>20</v>
      </c>
      <c r="J6" s="193" t="s">
        <v>20</v>
      </c>
      <c r="K6" s="188">
        <f>IFERROR(_xlfn.XLOOKUP(A6,[1]Fleet!A:A,[1]Fleet!E:E,""),"")</f>
        <v>12</v>
      </c>
      <c r="L6" s="188">
        <v>173.9</v>
      </c>
      <c r="M6" s="188" t="s">
        <v>264</v>
      </c>
      <c r="N6" s="188" t="s">
        <v>196</v>
      </c>
      <c r="O6">
        <v>8</v>
      </c>
      <c r="P6">
        <f>_xlfn.XLOOKUP(A6,'[1]Classic Net to delete'!D:D,'[1]Classic Net to delete'!AA:AA,0)</f>
        <v>5</v>
      </c>
    </row>
    <row r="7" spans="1:17" x14ac:dyDescent="0.25">
      <c r="A7" t="s">
        <v>257</v>
      </c>
      <c r="B7" t="s">
        <v>258</v>
      </c>
      <c r="C7">
        <v>280.34000000000003</v>
      </c>
      <c r="D7" t="s">
        <v>19</v>
      </c>
      <c r="E7" t="str">
        <f>CONCATENATE(J7,". ",N7)</f>
        <v>01. Non-powered Access</v>
      </c>
      <c r="F7">
        <v>75</v>
      </c>
      <c r="G7" t="b">
        <v>1</v>
      </c>
      <c r="H7" s="194" t="s">
        <v>259</v>
      </c>
      <c r="I7" s="193" t="s">
        <v>20</v>
      </c>
      <c r="J7" s="193" t="s">
        <v>20</v>
      </c>
      <c r="K7" s="188">
        <f>IFERROR(_xlfn.XLOOKUP(A7,[1]Fleet!A:A,[1]Fleet!E:E,""),"")</f>
        <v>10</v>
      </c>
      <c r="L7" s="188">
        <v>250.3</v>
      </c>
      <c r="M7" s="188" t="s">
        <v>260</v>
      </c>
      <c r="N7" s="188" t="s">
        <v>196</v>
      </c>
      <c r="O7">
        <v>7</v>
      </c>
      <c r="P7">
        <f>_xlfn.XLOOKUP(A7,'[1]Classic Net to delete'!D:D,'[1]Classic Net to delete'!AA:AA,0)</f>
        <v>6</v>
      </c>
    </row>
    <row r="8" spans="1:17" x14ac:dyDescent="0.25">
      <c r="A8" t="s">
        <v>192</v>
      </c>
      <c r="B8" t="s">
        <v>193</v>
      </c>
      <c r="C8">
        <v>162.64000000000001</v>
      </c>
      <c r="D8" t="s">
        <v>19</v>
      </c>
      <c r="E8" t="str">
        <f>CONCATENATE(J8,". ",N8)</f>
        <v>01. Non-powered Access</v>
      </c>
      <c r="F8">
        <v>75</v>
      </c>
      <c r="G8" t="b">
        <v>1</v>
      </c>
      <c r="H8" s="194" t="s">
        <v>194</v>
      </c>
      <c r="I8" s="193" t="s">
        <v>20</v>
      </c>
      <c r="J8" s="193" t="s">
        <v>20</v>
      </c>
      <c r="K8" s="188">
        <f>IFERROR(_xlfn.XLOOKUP(A8,[1]Fleet!A:A,[1]Fleet!E:E,""),"")</f>
        <v>117</v>
      </c>
      <c r="L8" s="188">
        <v>152</v>
      </c>
      <c r="M8" s="188" t="s">
        <v>195</v>
      </c>
      <c r="N8" s="188" t="s">
        <v>196</v>
      </c>
      <c r="O8">
        <v>2</v>
      </c>
      <c r="P8">
        <f>_xlfn.XLOOKUP(A8,'[1]Classic Net to delete'!D:D,'[1]Classic Net to delete'!AA:AA,0)</f>
        <v>7</v>
      </c>
    </row>
    <row r="9" spans="1:17" x14ac:dyDescent="0.25">
      <c r="A9" t="s">
        <v>199</v>
      </c>
      <c r="B9" t="s">
        <v>200</v>
      </c>
      <c r="C9">
        <v>213.63</v>
      </c>
      <c r="D9" t="s">
        <v>19</v>
      </c>
      <c r="E9" t="str">
        <f>CONCATENATE(J9,". ",N9)</f>
        <v>01. Non-powered Access</v>
      </c>
      <c r="F9">
        <v>75</v>
      </c>
      <c r="G9" t="b">
        <v>1</v>
      </c>
      <c r="H9" s="194" t="s">
        <v>201</v>
      </c>
      <c r="I9" s="193" t="s">
        <v>20</v>
      </c>
      <c r="J9" s="193" t="s">
        <v>20</v>
      </c>
      <c r="K9" s="188">
        <f>IFERROR(_xlfn.XLOOKUP(A9,[1]Fleet!A:A,[1]Fleet!E:E,""),"")</f>
        <v>133</v>
      </c>
      <c r="L9" s="188">
        <v>199.65</v>
      </c>
      <c r="M9" s="188" t="s">
        <v>202</v>
      </c>
      <c r="N9" s="188" t="s">
        <v>196</v>
      </c>
      <c r="O9">
        <v>1</v>
      </c>
      <c r="P9">
        <f>_xlfn.XLOOKUP(A9,'[1]Classic Net to delete'!D:D,'[1]Classic Net to delete'!AA:AA,0)</f>
        <v>8</v>
      </c>
    </row>
    <row r="10" spans="1:17" x14ac:dyDescent="0.25">
      <c r="A10" t="s">
        <v>232</v>
      </c>
      <c r="B10" t="s">
        <v>233</v>
      </c>
      <c r="C10">
        <v>307.45999999999998</v>
      </c>
      <c r="D10" t="s">
        <v>19</v>
      </c>
      <c r="E10" t="str">
        <f>CONCATENATE(J10,". ",N10)</f>
        <v>01. Non-powered Access</v>
      </c>
      <c r="F10">
        <v>75</v>
      </c>
      <c r="G10" t="b">
        <v>1</v>
      </c>
      <c r="H10" s="194" t="s">
        <v>234</v>
      </c>
      <c r="I10" s="193" t="s">
        <v>20</v>
      </c>
      <c r="J10" s="193" t="s">
        <v>20</v>
      </c>
      <c r="K10" s="188">
        <f>IFERROR(_xlfn.XLOOKUP(A10,[1]Fleet!A:A,[1]Fleet!E:E,""),"")</f>
        <v>4</v>
      </c>
      <c r="L10" s="188">
        <v>287.35000000000002</v>
      </c>
      <c r="M10" s="188" t="s">
        <v>233</v>
      </c>
      <c r="N10" s="188" t="s">
        <v>196</v>
      </c>
      <c r="O10">
        <v>3</v>
      </c>
      <c r="P10">
        <f>_xlfn.XLOOKUP(A10,'[1]Classic Net to delete'!D:D,'[1]Classic Net to delete'!AA:AA,0)</f>
        <v>9</v>
      </c>
    </row>
    <row r="11" spans="1:17" x14ac:dyDescent="0.25">
      <c r="A11" t="s">
        <v>203</v>
      </c>
      <c r="B11" t="s">
        <v>204</v>
      </c>
      <c r="C11">
        <v>34.78</v>
      </c>
      <c r="D11" t="s">
        <v>19</v>
      </c>
      <c r="E11" t="str">
        <f>CONCATENATE(J11,". ",N11)</f>
        <v>01. Non-powered Access</v>
      </c>
      <c r="F11">
        <v>75</v>
      </c>
      <c r="G11" t="b">
        <v>1</v>
      </c>
      <c r="H11">
        <v>10</v>
      </c>
      <c r="I11" s="193" t="s">
        <v>20</v>
      </c>
      <c r="J11" s="193" t="s">
        <v>20</v>
      </c>
      <c r="K11" s="188">
        <f>IFERROR(_xlfn.XLOOKUP(A11,[1]Fleet!A:A,[1]Fleet!E:E,""),"")</f>
        <v>29</v>
      </c>
      <c r="L11" s="188">
        <v>32.5</v>
      </c>
      <c r="M11" s="188" t="s">
        <v>205</v>
      </c>
      <c r="N11" s="188" t="s">
        <v>196</v>
      </c>
      <c r="O11">
        <v>5</v>
      </c>
      <c r="P11">
        <f>_xlfn.XLOOKUP(A11,'[1]Classic Net to delete'!D:D,'[1]Classic Net to delete'!AA:AA,0)</f>
        <v>10</v>
      </c>
    </row>
    <row r="12" spans="1:17" x14ac:dyDescent="0.25">
      <c r="A12" t="s">
        <v>265</v>
      </c>
      <c r="B12" t="s">
        <v>266</v>
      </c>
      <c r="C12">
        <v>225.56</v>
      </c>
      <c r="D12" t="s">
        <v>19</v>
      </c>
      <c r="E12" t="str">
        <f>CONCATENATE(J12,". ",N12)</f>
        <v>02. Powered Access</v>
      </c>
      <c r="F12">
        <v>75</v>
      </c>
      <c r="G12" t="b">
        <v>1</v>
      </c>
      <c r="H12">
        <v>0</v>
      </c>
      <c r="I12" s="193" t="s">
        <v>20</v>
      </c>
      <c r="J12" s="193" t="s">
        <v>189</v>
      </c>
      <c r="K12" s="188">
        <f>IFERROR(_xlfn.XLOOKUP(A12,[1]Fleet!A:A,[1]Fleet!E:E,""),"")</f>
        <v>22</v>
      </c>
      <c r="L12" s="188" t="s">
        <v>76</v>
      </c>
      <c r="M12" s="188" t="s">
        <v>76</v>
      </c>
      <c r="N12" s="188" t="s">
        <v>191</v>
      </c>
      <c r="O12">
        <v>12</v>
      </c>
      <c r="P12">
        <f>_xlfn.XLOOKUP(A12,'[1]Classic Net to delete'!D:D,'[1]Classic Net to delete'!AA:AA,0)</f>
        <v>0</v>
      </c>
    </row>
    <row r="13" spans="1:17" x14ac:dyDescent="0.25">
      <c r="A13" t="s">
        <v>277</v>
      </c>
      <c r="B13" t="s">
        <v>278</v>
      </c>
      <c r="C13">
        <v>500</v>
      </c>
      <c r="D13" t="s">
        <v>19</v>
      </c>
      <c r="E13" t="str">
        <f>CONCATENATE(J13,". ",N13)</f>
        <v>02. Powered Access</v>
      </c>
      <c r="F13">
        <v>75</v>
      </c>
      <c r="G13" t="b">
        <v>0</v>
      </c>
      <c r="H13">
        <v>0</v>
      </c>
      <c r="I13" s="193" t="s">
        <v>20</v>
      </c>
      <c r="J13" s="193" t="s">
        <v>189</v>
      </c>
      <c r="K13" s="188" t="str">
        <f>IFERROR(_xlfn.XLOOKUP(A13,[1]Fleet!A:A,[1]Fleet!E:E,""),"")</f>
        <v/>
      </c>
      <c r="L13" s="188" t="s">
        <v>76</v>
      </c>
      <c r="M13" s="188" t="s">
        <v>76</v>
      </c>
      <c r="N13" s="188" t="s">
        <v>191</v>
      </c>
      <c r="O13">
        <v>34</v>
      </c>
      <c r="P13">
        <f>_xlfn.XLOOKUP(A13,'[1]Classic Net to delete'!D:D,'[1]Classic Net to delete'!AA:AA,0)</f>
        <v>0</v>
      </c>
    </row>
    <row r="14" spans="1:17" x14ac:dyDescent="0.25">
      <c r="A14" t="s">
        <v>290</v>
      </c>
      <c r="B14" t="s">
        <v>291</v>
      </c>
      <c r="C14">
        <v>128.4</v>
      </c>
      <c r="D14" t="s">
        <v>19</v>
      </c>
      <c r="E14" t="str">
        <f>CONCATENATE(J14,". ",N14)</f>
        <v>02. Powered Access</v>
      </c>
      <c r="F14">
        <v>0</v>
      </c>
      <c r="G14" t="b">
        <v>0</v>
      </c>
      <c r="H14">
        <v>0</v>
      </c>
      <c r="I14" s="193" t="s">
        <v>20</v>
      </c>
      <c r="J14" s="193" t="s">
        <v>189</v>
      </c>
      <c r="K14" s="188">
        <f>IFERROR(_xlfn.XLOOKUP(A14,[1]Fleet!A:A,[1]Fleet!E:E,""),"")</f>
        <v>3</v>
      </c>
      <c r="L14" s="188" t="s">
        <v>76</v>
      </c>
      <c r="M14" s="188" t="s">
        <v>76</v>
      </c>
      <c r="N14" s="188" t="s">
        <v>191</v>
      </c>
      <c r="O14">
        <v>33</v>
      </c>
      <c r="P14">
        <f>_xlfn.XLOOKUP(A14,'[1]Classic Net to delete'!D:D,'[1]Classic Net to delete'!AA:AA,0)</f>
        <v>0</v>
      </c>
    </row>
    <row r="15" spans="1:17" x14ac:dyDescent="0.25">
      <c r="A15" t="s">
        <v>3018</v>
      </c>
      <c r="B15" t="s">
        <v>278</v>
      </c>
      <c r="C15">
        <v>500</v>
      </c>
      <c r="D15" t="s">
        <v>19</v>
      </c>
      <c r="E15" t="str">
        <f>CONCATENATE(J15,". ",N15)</f>
        <v>02. Powered Access</v>
      </c>
      <c r="F15">
        <v>75</v>
      </c>
      <c r="G15" t="b">
        <v>0</v>
      </c>
      <c r="H15">
        <v>0</v>
      </c>
      <c r="I15" s="193" t="s">
        <v>20</v>
      </c>
      <c r="J15" s="193" t="s">
        <v>189</v>
      </c>
      <c r="K15" s="188">
        <f>IFERROR(_xlfn.XLOOKUP(A15,[1]Fleet!A:A,[1]Fleet!E:E,""),"")</f>
        <v>17</v>
      </c>
      <c r="L15" s="188" t="s">
        <v>76</v>
      </c>
      <c r="M15" s="188" t="s">
        <v>76</v>
      </c>
      <c r="N15" s="188" t="s">
        <v>191</v>
      </c>
      <c r="O15">
        <v>15</v>
      </c>
      <c r="P15">
        <f>_xlfn.XLOOKUP(A15,'[1]Classic Net to delete'!D:D,'[1]Classic Net to delete'!AA:AA,0)</f>
        <v>0</v>
      </c>
    </row>
    <row r="16" spans="1:17" x14ac:dyDescent="0.25">
      <c r="A16" t="s">
        <v>3018</v>
      </c>
      <c r="B16" t="s">
        <v>3019</v>
      </c>
      <c r="C16">
        <v>500</v>
      </c>
      <c r="D16" t="s">
        <v>19</v>
      </c>
      <c r="E16" t="str">
        <f>CONCATENATE(J16,". ",N16)</f>
        <v>02. Powered Access</v>
      </c>
      <c r="F16">
        <v>75</v>
      </c>
      <c r="G16" t="b">
        <v>0</v>
      </c>
      <c r="H16">
        <v>0</v>
      </c>
      <c r="I16" s="193" t="s">
        <v>20</v>
      </c>
      <c r="J16" s="193" t="s">
        <v>189</v>
      </c>
      <c r="K16" s="188">
        <f>IFERROR(_xlfn.XLOOKUP(A16,[1]Fleet!A:A,[1]Fleet!E:E,""),"")</f>
        <v>17</v>
      </c>
      <c r="L16" s="188" t="s">
        <v>76</v>
      </c>
      <c r="M16" s="188" t="s">
        <v>76</v>
      </c>
      <c r="N16" s="188" t="s">
        <v>191</v>
      </c>
      <c r="O16">
        <v>16</v>
      </c>
      <c r="P16">
        <f>_xlfn.XLOOKUP(A16,'[1]Classic Net to delete'!D:D,'[1]Classic Net to delete'!AA:AA,0)</f>
        <v>0</v>
      </c>
    </row>
    <row r="17" spans="1:16" x14ac:dyDescent="0.25">
      <c r="A17" t="s">
        <v>3018</v>
      </c>
      <c r="B17" t="s">
        <v>3020</v>
      </c>
      <c r="C17">
        <v>500</v>
      </c>
      <c r="D17" t="s">
        <v>19</v>
      </c>
      <c r="E17" t="str">
        <f>CONCATENATE(J17,". ",N17)</f>
        <v>02. Powered Access</v>
      </c>
      <c r="F17">
        <v>75</v>
      </c>
      <c r="G17" t="b">
        <v>0</v>
      </c>
      <c r="H17">
        <v>0</v>
      </c>
      <c r="I17" s="193" t="s">
        <v>20</v>
      </c>
      <c r="J17" s="193" t="s">
        <v>189</v>
      </c>
      <c r="K17" s="188">
        <f>IFERROR(_xlfn.XLOOKUP(A17,[1]Fleet!A:A,[1]Fleet!E:E,""),"")</f>
        <v>17</v>
      </c>
      <c r="L17" s="188" t="s">
        <v>76</v>
      </c>
      <c r="M17" s="188" t="s">
        <v>76</v>
      </c>
      <c r="N17" s="188" t="s">
        <v>191</v>
      </c>
      <c r="O17">
        <v>17</v>
      </c>
      <c r="P17">
        <f>_xlfn.XLOOKUP(A17,'[1]Classic Net to delete'!D:D,'[1]Classic Net to delete'!AA:AA,0)</f>
        <v>0</v>
      </c>
    </row>
    <row r="18" spans="1:16" x14ac:dyDescent="0.25">
      <c r="A18" t="s">
        <v>3018</v>
      </c>
      <c r="B18" t="s">
        <v>3021</v>
      </c>
      <c r="C18">
        <v>500</v>
      </c>
      <c r="D18" t="s">
        <v>19</v>
      </c>
      <c r="E18" t="str">
        <f>CONCATENATE(J18,". ",N18)</f>
        <v>02. Powered Access</v>
      </c>
      <c r="F18">
        <v>75</v>
      </c>
      <c r="G18" t="b">
        <v>0</v>
      </c>
      <c r="H18">
        <v>0</v>
      </c>
      <c r="I18" s="193" t="s">
        <v>20</v>
      </c>
      <c r="J18" s="193" t="s">
        <v>189</v>
      </c>
      <c r="K18" s="188">
        <f>IFERROR(_xlfn.XLOOKUP(A18,[1]Fleet!A:A,[1]Fleet!E:E,""),"")</f>
        <v>17</v>
      </c>
      <c r="L18" s="188" t="s">
        <v>76</v>
      </c>
      <c r="M18" s="188" t="s">
        <v>76</v>
      </c>
      <c r="N18" s="188" t="s">
        <v>191</v>
      </c>
      <c r="O18">
        <v>18</v>
      </c>
      <c r="P18">
        <f>_xlfn.XLOOKUP(A18,'[1]Classic Net to delete'!D:D,'[1]Classic Net to delete'!AA:AA,0)</f>
        <v>0</v>
      </c>
    </row>
    <row r="19" spans="1:16" x14ac:dyDescent="0.25">
      <c r="A19" t="s">
        <v>3018</v>
      </c>
      <c r="B19" t="s">
        <v>3022</v>
      </c>
      <c r="C19">
        <v>500</v>
      </c>
      <c r="D19" t="s">
        <v>19</v>
      </c>
      <c r="E19" t="str">
        <f>CONCATENATE(J19,". ",N19)</f>
        <v>02. Powered Access</v>
      </c>
      <c r="F19">
        <v>75</v>
      </c>
      <c r="G19" t="b">
        <v>0</v>
      </c>
      <c r="H19">
        <v>0</v>
      </c>
      <c r="I19" s="193" t="s">
        <v>20</v>
      </c>
      <c r="J19" s="193" t="s">
        <v>189</v>
      </c>
      <c r="K19" s="188">
        <f>IFERROR(_xlfn.XLOOKUP(A19,[1]Fleet!A:A,[1]Fleet!E:E,""),"")</f>
        <v>17</v>
      </c>
      <c r="L19" s="188" t="s">
        <v>76</v>
      </c>
      <c r="M19" s="188" t="s">
        <v>76</v>
      </c>
      <c r="N19" s="188" t="s">
        <v>191</v>
      </c>
      <c r="O19">
        <v>20</v>
      </c>
      <c r="P19">
        <f>_xlfn.XLOOKUP(A19,'[1]Classic Net to delete'!D:D,'[1]Classic Net to delete'!AA:AA,0)</f>
        <v>0</v>
      </c>
    </row>
    <row r="20" spans="1:16" x14ac:dyDescent="0.25">
      <c r="A20" t="s">
        <v>3018</v>
      </c>
      <c r="B20" t="s">
        <v>3023</v>
      </c>
      <c r="C20">
        <v>500</v>
      </c>
      <c r="D20" t="s">
        <v>19</v>
      </c>
      <c r="E20" t="str">
        <f>CONCATENATE(J20,". ",N20)</f>
        <v>02. Powered Access</v>
      </c>
      <c r="F20">
        <v>75</v>
      </c>
      <c r="G20" t="b">
        <v>0</v>
      </c>
      <c r="H20">
        <v>0</v>
      </c>
      <c r="I20" s="193" t="s">
        <v>20</v>
      </c>
      <c r="J20" s="193" t="s">
        <v>189</v>
      </c>
      <c r="K20" s="188">
        <f>IFERROR(_xlfn.XLOOKUP(A20,[1]Fleet!A:A,[1]Fleet!E:E,""),"")</f>
        <v>17</v>
      </c>
      <c r="L20" s="188" t="s">
        <v>76</v>
      </c>
      <c r="M20" s="188" t="s">
        <v>76</v>
      </c>
      <c r="N20" s="188" t="s">
        <v>191</v>
      </c>
      <c r="O20">
        <v>21</v>
      </c>
      <c r="P20">
        <f>_xlfn.XLOOKUP(A20,'[1]Classic Net to delete'!D:D,'[1]Classic Net to delete'!AA:AA,0)</f>
        <v>0</v>
      </c>
    </row>
    <row r="21" spans="1:16" x14ac:dyDescent="0.25">
      <c r="A21" t="s">
        <v>3018</v>
      </c>
      <c r="B21" t="s">
        <v>3024</v>
      </c>
      <c r="C21">
        <v>500</v>
      </c>
      <c r="D21" t="s">
        <v>19</v>
      </c>
      <c r="E21" t="str">
        <f>CONCATENATE(J21,". ",N21)</f>
        <v>02. Powered Access</v>
      </c>
      <c r="F21">
        <v>75</v>
      </c>
      <c r="G21" t="b">
        <v>0</v>
      </c>
      <c r="H21">
        <v>0</v>
      </c>
      <c r="I21" s="193" t="s">
        <v>20</v>
      </c>
      <c r="J21" s="193" t="s">
        <v>189</v>
      </c>
      <c r="K21" s="188">
        <f>IFERROR(_xlfn.XLOOKUP(A21,[1]Fleet!A:A,[1]Fleet!E:E,""),"")</f>
        <v>17</v>
      </c>
      <c r="L21" s="188" t="s">
        <v>76</v>
      </c>
      <c r="M21" s="188" t="s">
        <v>76</v>
      </c>
      <c r="N21" s="188" t="s">
        <v>191</v>
      </c>
      <c r="O21">
        <v>22</v>
      </c>
      <c r="P21">
        <f>_xlfn.XLOOKUP(A21,'[1]Classic Net to delete'!D:D,'[1]Classic Net to delete'!AA:AA,0)</f>
        <v>0</v>
      </c>
    </row>
    <row r="22" spans="1:16" x14ac:dyDescent="0.25">
      <c r="A22" t="s">
        <v>3018</v>
      </c>
      <c r="B22" t="s">
        <v>3025</v>
      </c>
      <c r="C22">
        <v>500</v>
      </c>
      <c r="D22" t="s">
        <v>19</v>
      </c>
      <c r="E22" t="str">
        <f>CONCATENATE(J22,". ",N22)</f>
        <v>02. Powered Access</v>
      </c>
      <c r="F22">
        <v>75</v>
      </c>
      <c r="G22" t="b">
        <v>0</v>
      </c>
      <c r="H22">
        <v>0</v>
      </c>
      <c r="I22" s="193" t="s">
        <v>20</v>
      </c>
      <c r="J22" s="193" t="s">
        <v>189</v>
      </c>
      <c r="K22" s="188">
        <f>IFERROR(_xlfn.XLOOKUP(A22,[1]Fleet!A:A,[1]Fleet!E:E,""),"")</f>
        <v>17</v>
      </c>
      <c r="L22" s="188" t="s">
        <v>76</v>
      </c>
      <c r="M22" s="188" t="s">
        <v>76</v>
      </c>
      <c r="N22" s="188" t="s">
        <v>191</v>
      </c>
      <c r="O22">
        <v>23</v>
      </c>
      <c r="P22">
        <f>_xlfn.XLOOKUP(A22,'[1]Classic Net to delete'!D:D,'[1]Classic Net to delete'!AA:AA,0)</f>
        <v>0</v>
      </c>
    </row>
    <row r="23" spans="1:16" x14ac:dyDescent="0.25">
      <c r="A23" t="s">
        <v>3018</v>
      </c>
      <c r="B23" t="s">
        <v>3026</v>
      </c>
      <c r="C23">
        <v>500</v>
      </c>
      <c r="D23" t="s">
        <v>19</v>
      </c>
      <c r="E23" t="str">
        <f>CONCATENATE(J23,". ",N23)</f>
        <v>02. Powered Access</v>
      </c>
      <c r="F23">
        <v>75</v>
      </c>
      <c r="G23" t="b">
        <v>0</v>
      </c>
      <c r="H23">
        <v>0</v>
      </c>
      <c r="I23" s="193" t="s">
        <v>20</v>
      </c>
      <c r="J23" s="193" t="s">
        <v>189</v>
      </c>
      <c r="K23" s="188">
        <f>IFERROR(_xlfn.XLOOKUP(A23,[1]Fleet!A:A,[1]Fleet!E:E,""),"")</f>
        <v>17</v>
      </c>
      <c r="L23" s="188" t="s">
        <v>76</v>
      </c>
      <c r="M23" s="188" t="s">
        <v>76</v>
      </c>
      <c r="N23" s="188" t="s">
        <v>191</v>
      </c>
      <c r="O23">
        <v>24</v>
      </c>
      <c r="P23">
        <f>_xlfn.XLOOKUP(A23,'[1]Classic Net to delete'!D:D,'[1]Classic Net to delete'!AA:AA,0)</f>
        <v>0</v>
      </c>
    </row>
    <row r="24" spans="1:16" x14ac:dyDescent="0.25">
      <c r="A24" t="s">
        <v>3018</v>
      </c>
      <c r="B24" t="s">
        <v>3027</v>
      </c>
      <c r="C24">
        <v>500</v>
      </c>
      <c r="D24" t="s">
        <v>19</v>
      </c>
      <c r="E24" t="str">
        <f>CONCATENATE(J24,". ",N24)</f>
        <v>02. Powered Access</v>
      </c>
      <c r="F24">
        <v>75</v>
      </c>
      <c r="G24" t="b">
        <v>0</v>
      </c>
      <c r="H24">
        <v>0</v>
      </c>
      <c r="I24" s="193" t="s">
        <v>20</v>
      </c>
      <c r="J24" s="193" t="s">
        <v>189</v>
      </c>
      <c r="K24" s="188">
        <f>IFERROR(_xlfn.XLOOKUP(A24,[1]Fleet!A:A,[1]Fleet!E:E,""),"")</f>
        <v>17</v>
      </c>
      <c r="L24" s="188" t="s">
        <v>76</v>
      </c>
      <c r="M24" s="188" t="s">
        <v>76</v>
      </c>
      <c r="N24" s="188" t="s">
        <v>191</v>
      </c>
      <c r="O24">
        <v>25</v>
      </c>
      <c r="P24">
        <f>_xlfn.XLOOKUP(A24,'[1]Classic Net to delete'!D:D,'[1]Classic Net to delete'!AA:AA,0)</f>
        <v>0</v>
      </c>
    </row>
    <row r="25" spans="1:16" x14ac:dyDescent="0.25">
      <c r="A25" t="s">
        <v>3018</v>
      </c>
      <c r="B25" t="s">
        <v>3028</v>
      </c>
      <c r="C25">
        <v>500</v>
      </c>
      <c r="D25" t="s">
        <v>19</v>
      </c>
      <c r="E25" t="str">
        <f>CONCATENATE(J25,". ",N25)</f>
        <v>02. Powered Access</v>
      </c>
      <c r="F25">
        <v>75</v>
      </c>
      <c r="G25" t="b">
        <v>0</v>
      </c>
      <c r="H25">
        <v>0</v>
      </c>
      <c r="I25" s="193" t="s">
        <v>20</v>
      </c>
      <c r="J25" s="193" t="s">
        <v>189</v>
      </c>
      <c r="K25" s="188">
        <f>IFERROR(_xlfn.XLOOKUP(A25,[1]Fleet!A:A,[1]Fleet!E:E,""),"")</f>
        <v>17</v>
      </c>
      <c r="L25" s="188" t="s">
        <v>76</v>
      </c>
      <c r="M25" s="188" t="s">
        <v>76</v>
      </c>
      <c r="N25" s="188" t="s">
        <v>191</v>
      </c>
      <c r="O25">
        <v>26</v>
      </c>
      <c r="P25">
        <f>_xlfn.XLOOKUP(A25,'[1]Classic Net to delete'!D:D,'[1]Classic Net to delete'!AA:AA,0)</f>
        <v>0</v>
      </c>
    </row>
    <row r="26" spans="1:16" x14ac:dyDescent="0.25">
      <c r="A26" t="s">
        <v>3018</v>
      </c>
      <c r="B26" t="s">
        <v>3029</v>
      </c>
      <c r="C26">
        <v>500</v>
      </c>
      <c r="D26" t="s">
        <v>19</v>
      </c>
      <c r="E26" t="str">
        <f>CONCATENATE(J26,". ",N26)</f>
        <v>02. Powered Access</v>
      </c>
      <c r="F26">
        <v>75</v>
      </c>
      <c r="G26" t="b">
        <v>0</v>
      </c>
      <c r="H26">
        <v>0</v>
      </c>
      <c r="I26" s="193" t="s">
        <v>20</v>
      </c>
      <c r="J26" s="193" t="s">
        <v>189</v>
      </c>
      <c r="K26" s="188">
        <f>IFERROR(_xlfn.XLOOKUP(A26,[1]Fleet!A:A,[1]Fleet!E:E,""),"")</f>
        <v>17</v>
      </c>
      <c r="L26" s="188" t="s">
        <v>76</v>
      </c>
      <c r="M26" s="188" t="s">
        <v>76</v>
      </c>
      <c r="N26" s="188" t="s">
        <v>191</v>
      </c>
      <c r="O26">
        <v>27</v>
      </c>
      <c r="P26">
        <f>_xlfn.XLOOKUP(A26,'[1]Classic Net to delete'!D:D,'[1]Classic Net to delete'!AA:AA,0)</f>
        <v>0</v>
      </c>
    </row>
    <row r="27" spans="1:16" x14ac:dyDescent="0.25">
      <c r="A27" t="s">
        <v>3018</v>
      </c>
      <c r="B27" t="s">
        <v>3030</v>
      </c>
      <c r="C27">
        <v>500</v>
      </c>
      <c r="D27" t="s">
        <v>19</v>
      </c>
      <c r="E27" t="str">
        <f>CONCATENATE(J27,". ",N27)</f>
        <v>02. Powered Access</v>
      </c>
      <c r="F27">
        <v>75</v>
      </c>
      <c r="G27" t="b">
        <v>0</v>
      </c>
      <c r="H27">
        <v>0</v>
      </c>
      <c r="I27" s="193" t="s">
        <v>20</v>
      </c>
      <c r="J27" s="193" t="s">
        <v>189</v>
      </c>
      <c r="K27" s="188">
        <f>IFERROR(_xlfn.XLOOKUP(A27,[1]Fleet!A:A,[1]Fleet!E:E,""),"")</f>
        <v>17</v>
      </c>
      <c r="L27" s="188" t="s">
        <v>76</v>
      </c>
      <c r="M27" s="188" t="s">
        <v>76</v>
      </c>
      <c r="N27" s="188" t="s">
        <v>191</v>
      </c>
      <c r="O27">
        <v>28</v>
      </c>
      <c r="P27">
        <f>_xlfn.XLOOKUP(A27,'[1]Classic Net to delete'!D:D,'[1]Classic Net to delete'!AA:AA,0)</f>
        <v>0</v>
      </c>
    </row>
    <row r="28" spans="1:16" x14ac:dyDescent="0.25">
      <c r="A28" t="s">
        <v>3018</v>
      </c>
      <c r="B28" t="s">
        <v>3031</v>
      </c>
      <c r="C28">
        <v>500</v>
      </c>
      <c r="D28" t="s">
        <v>19</v>
      </c>
      <c r="E28" t="str">
        <f>CONCATENATE(J28,". ",N28)</f>
        <v>02. Powered Access</v>
      </c>
      <c r="F28">
        <v>75</v>
      </c>
      <c r="G28" t="b">
        <v>0</v>
      </c>
      <c r="H28">
        <v>0</v>
      </c>
      <c r="I28" s="193" t="s">
        <v>20</v>
      </c>
      <c r="J28" s="193" t="s">
        <v>189</v>
      </c>
      <c r="K28" s="188">
        <f>IFERROR(_xlfn.XLOOKUP(A28,[1]Fleet!A:A,[1]Fleet!E:E,""),"")</f>
        <v>17</v>
      </c>
      <c r="L28" s="188" t="s">
        <v>76</v>
      </c>
      <c r="M28" s="188" t="s">
        <v>76</v>
      </c>
      <c r="N28" s="188" t="s">
        <v>191</v>
      </c>
      <c r="O28">
        <v>29</v>
      </c>
      <c r="P28">
        <f>_xlfn.XLOOKUP(A28,'[1]Classic Net to delete'!D:D,'[1]Classic Net to delete'!AA:AA,0)</f>
        <v>0</v>
      </c>
    </row>
    <row r="29" spans="1:16" x14ac:dyDescent="0.25">
      <c r="A29" t="s">
        <v>3018</v>
      </c>
      <c r="B29" t="s">
        <v>3032</v>
      </c>
      <c r="C29">
        <v>500</v>
      </c>
      <c r="D29" t="s">
        <v>19</v>
      </c>
      <c r="E29" t="str">
        <f>CONCATENATE(J29,". ",N29)</f>
        <v>02. Powered Access</v>
      </c>
      <c r="F29">
        <v>75</v>
      </c>
      <c r="G29" t="b">
        <v>0</v>
      </c>
      <c r="H29">
        <v>0</v>
      </c>
      <c r="I29" s="193" t="s">
        <v>20</v>
      </c>
      <c r="J29" s="193" t="s">
        <v>189</v>
      </c>
      <c r="K29" s="188">
        <f>IFERROR(_xlfn.XLOOKUP(A29,[1]Fleet!A:A,[1]Fleet!E:E,""),"")</f>
        <v>17</v>
      </c>
      <c r="L29" s="188" t="s">
        <v>76</v>
      </c>
      <c r="M29" s="188" t="s">
        <v>76</v>
      </c>
      <c r="N29" s="188" t="s">
        <v>191</v>
      </c>
      <c r="O29">
        <v>30</v>
      </c>
      <c r="P29">
        <f>_xlfn.XLOOKUP(A29,'[1]Classic Net to delete'!D:D,'[1]Classic Net to delete'!AA:AA,0)</f>
        <v>0</v>
      </c>
    </row>
    <row r="30" spans="1:16" x14ac:dyDescent="0.25">
      <c r="A30" t="s">
        <v>3018</v>
      </c>
      <c r="B30" t="s">
        <v>3033</v>
      </c>
      <c r="C30">
        <v>500</v>
      </c>
      <c r="D30" t="s">
        <v>19</v>
      </c>
      <c r="E30" t="str">
        <f>CONCATENATE(J30,". ",N30)</f>
        <v>02. Powered Access</v>
      </c>
      <c r="F30">
        <v>75</v>
      </c>
      <c r="G30" t="b">
        <v>0</v>
      </c>
      <c r="H30">
        <v>0</v>
      </c>
      <c r="I30" s="193" t="s">
        <v>20</v>
      </c>
      <c r="J30" s="193" t="s">
        <v>189</v>
      </c>
      <c r="K30" s="188">
        <f>IFERROR(_xlfn.XLOOKUP(A30,[1]Fleet!A:A,[1]Fleet!E:E,""),"")</f>
        <v>17</v>
      </c>
      <c r="L30" s="188" t="s">
        <v>76</v>
      </c>
      <c r="M30" s="188" t="s">
        <v>76</v>
      </c>
      <c r="N30" s="188" t="s">
        <v>191</v>
      </c>
      <c r="O30">
        <v>31</v>
      </c>
      <c r="P30">
        <f>_xlfn.XLOOKUP(A30,'[1]Classic Net to delete'!D:D,'[1]Classic Net to delete'!AA:AA,0)</f>
        <v>0</v>
      </c>
    </row>
    <row r="31" spans="1:16" x14ac:dyDescent="0.25">
      <c r="A31" t="s">
        <v>3018</v>
      </c>
      <c r="B31" t="s">
        <v>3034</v>
      </c>
      <c r="C31">
        <v>500</v>
      </c>
      <c r="D31" t="s">
        <v>19</v>
      </c>
      <c r="E31" t="str">
        <f>CONCATENATE(J31,". ",N31)</f>
        <v>02. Powered Access</v>
      </c>
      <c r="F31">
        <v>75</v>
      </c>
      <c r="G31" t="b">
        <v>0</v>
      </c>
      <c r="H31">
        <v>0</v>
      </c>
      <c r="I31" s="193" t="s">
        <v>20</v>
      </c>
      <c r="J31" s="193" t="s">
        <v>189</v>
      </c>
      <c r="K31" s="188">
        <f>IFERROR(_xlfn.XLOOKUP(A31,[1]Fleet!A:A,[1]Fleet!E:E,""),"")</f>
        <v>17</v>
      </c>
      <c r="L31" s="188" t="s">
        <v>76</v>
      </c>
      <c r="M31" s="188" t="s">
        <v>76</v>
      </c>
      <c r="N31" s="188" t="s">
        <v>191</v>
      </c>
      <c r="O31">
        <v>32</v>
      </c>
      <c r="P31">
        <f>_xlfn.XLOOKUP(A31,'[1]Classic Net to delete'!D:D,'[1]Classic Net to delete'!AA:AA,0)</f>
        <v>0</v>
      </c>
    </row>
    <row r="32" spans="1:16" x14ac:dyDescent="0.25">
      <c r="A32" t="s">
        <v>206</v>
      </c>
      <c r="B32" t="s">
        <v>207</v>
      </c>
      <c r="C32">
        <v>220.26</v>
      </c>
      <c r="D32" t="s">
        <v>19</v>
      </c>
      <c r="E32" t="str">
        <f>CONCATENATE(J32,". ",N32)</f>
        <v>02. Powered Access</v>
      </c>
      <c r="F32">
        <v>75</v>
      </c>
      <c r="G32" t="b">
        <v>1</v>
      </c>
      <c r="H32" s="194" t="s">
        <v>20</v>
      </c>
      <c r="I32" s="193" t="s">
        <v>20</v>
      </c>
      <c r="J32" s="193" t="s">
        <v>189</v>
      </c>
      <c r="K32" s="188">
        <f>IFERROR(_xlfn.XLOOKUP(A32,[1]Fleet!A:A,[1]Fleet!E:E,""),"")</f>
        <v>19</v>
      </c>
      <c r="L32" s="188">
        <v>205.85000000000002</v>
      </c>
      <c r="M32" s="188" t="s">
        <v>208</v>
      </c>
      <c r="N32" s="188" t="s">
        <v>191</v>
      </c>
      <c r="O32">
        <v>13</v>
      </c>
      <c r="P32">
        <f>_xlfn.XLOOKUP(A32,'[1]Classic Net to delete'!D:D,'[1]Classic Net to delete'!AA:AA,0)</f>
        <v>1</v>
      </c>
    </row>
    <row r="33" spans="1:16" x14ac:dyDescent="0.25">
      <c r="A33" t="s">
        <v>209</v>
      </c>
      <c r="B33" t="s">
        <v>210</v>
      </c>
      <c r="C33">
        <v>225.56</v>
      </c>
      <c r="D33" t="s">
        <v>19</v>
      </c>
      <c r="E33" t="str">
        <f>CONCATENATE(J33,". ",N33)</f>
        <v>02. Powered Access</v>
      </c>
      <c r="F33">
        <v>75</v>
      </c>
      <c r="G33" t="b">
        <v>1</v>
      </c>
      <c r="H33" s="194" t="s">
        <v>189</v>
      </c>
      <c r="I33" s="193" t="s">
        <v>20</v>
      </c>
      <c r="J33" s="193" t="s">
        <v>189</v>
      </c>
      <c r="K33" s="188">
        <f>IFERROR(_xlfn.XLOOKUP(A33,[1]Fleet!A:A,[1]Fleet!E:E,""),"")</f>
        <v>20</v>
      </c>
      <c r="L33" s="188">
        <v>210.8</v>
      </c>
      <c r="M33" s="188" t="s">
        <v>211</v>
      </c>
      <c r="N33" s="188" t="s">
        <v>191</v>
      </c>
      <c r="O33">
        <v>19</v>
      </c>
      <c r="P33">
        <f>_xlfn.XLOOKUP(A33,'[1]Classic Net to delete'!D:D,'[1]Classic Net to delete'!AA:AA,0)</f>
        <v>2</v>
      </c>
    </row>
    <row r="34" spans="1:16" x14ac:dyDescent="0.25">
      <c r="A34" t="s">
        <v>186</v>
      </c>
      <c r="B34" t="s">
        <v>187</v>
      </c>
      <c r="C34">
        <v>258.99</v>
      </c>
      <c r="D34" t="s">
        <v>19</v>
      </c>
      <c r="E34" t="str">
        <f>CONCATENATE(J34,". ",N34)</f>
        <v>02. Powered Access</v>
      </c>
      <c r="F34">
        <v>75</v>
      </c>
      <c r="G34" t="b">
        <v>1</v>
      </c>
      <c r="H34" s="194" t="s">
        <v>188</v>
      </c>
      <c r="I34" s="193" t="s">
        <v>20</v>
      </c>
      <c r="J34" s="193" t="s">
        <v>189</v>
      </c>
      <c r="K34" s="188">
        <f>IFERROR(_xlfn.XLOOKUP(A34,[1]Fleet!A:A,[1]Fleet!E:E,""),"")</f>
        <v>20</v>
      </c>
      <c r="L34" s="188">
        <v>242.05</v>
      </c>
      <c r="M34" s="188" t="s">
        <v>190</v>
      </c>
      <c r="N34" s="188" t="s">
        <v>191</v>
      </c>
      <c r="O34">
        <v>11</v>
      </c>
      <c r="P34">
        <f>_xlfn.XLOOKUP(A34,'[1]Classic Net to delete'!D:D,'[1]Classic Net to delete'!AA:AA,0)</f>
        <v>3</v>
      </c>
    </row>
    <row r="35" spans="1:16" x14ac:dyDescent="0.25">
      <c r="A35" t="s">
        <v>267</v>
      </c>
      <c r="B35" t="s">
        <v>268</v>
      </c>
      <c r="C35">
        <v>238.13</v>
      </c>
      <c r="D35" t="s">
        <v>19</v>
      </c>
      <c r="E35" t="str">
        <f>CONCATENATE(J35,". ",N35)</f>
        <v>02. Powered Access</v>
      </c>
      <c r="F35">
        <v>75</v>
      </c>
      <c r="G35" t="b">
        <v>1</v>
      </c>
      <c r="H35" s="194" t="s">
        <v>269</v>
      </c>
      <c r="I35" s="193" t="s">
        <v>20</v>
      </c>
      <c r="J35" s="193" t="s">
        <v>189</v>
      </c>
      <c r="K35" s="188">
        <f>IFERROR(_xlfn.XLOOKUP(A35,[1]Fleet!A:A,[1]Fleet!E:E,""),"")</f>
        <v>20</v>
      </c>
      <c r="L35" s="188">
        <v>222.55</v>
      </c>
      <c r="M35" s="188" t="s">
        <v>270</v>
      </c>
      <c r="N35" s="188" t="s">
        <v>191</v>
      </c>
      <c r="O35">
        <v>14</v>
      </c>
      <c r="P35">
        <f>_xlfn.XLOOKUP(A35,'[1]Classic Net to delete'!D:D,'[1]Classic Net to delete'!AA:AA,0)</f>
        <v>4</v>
      </c>
    </row>
    <row r="36" spans="1:16" x14ac:dyDescent="0.25">
      <c r="A36" t="s">
        <v>298</v>
      </c>
      <c r="B36" t="s">
        <v>299</v>
      </c>
      <c r="C36">
        <v>0</v>
      </c>
      <c r="D36" t="s">
        <v>19</v>
      </c>
      <c r="E36" t="str">
        <f>CONCATENATE(J36,". ",N36)</f>
        <v>03. Self-Propelled Powered Access</v>
      </c>
      <c r="F36">
        <v>75</v>
      </c>
      <c r="G36" t="b">
        <v>0</v>
      </c>
      <c r="H36">
        <v>0</v>
      </c>
      <c r="I36" s="193" t="s">
        <v>20</v>
      </c>
      <c r="J36" s="193" t="s">
        <v>188</v>
      </c>
      <c r="K36" s="188">
        <f>IFERROR(_xlfn.XLOOKUP(A36,[1]Fleet!A:A,[1]Fleet!E:E,""),"")</f>
        <v>1</v>
      </c>
      <c r="L36" s="188" t="s">
        <v>76</v>
      </c>
      <c r="M36" s="188" t="s">
        <v>76</v>
      </c>
      <c r="N36" s="188" t="s">
        <v>282</v>
      </c>
      <c r="O36">
        <v>40</v>
      </c>
      <c r="P36">
        <f>_xlfn.XLOOKUP(A36,'[1]Classic Net to delete'!D:D,'[1]Classic Net to delete'!AA:AA,0)</f>
        <v>0</v>
      </c>
    </row>
    <row r="37" spans="1:16" x14ac:dyDescent="0.25">
      <c r="A37" t="s">
        <v>279</v>
      </c>
      <c r="B37" t="s">
        <v>280</v>
      </c>
      <c r="C37">
        <v>500</v>
      </c>
      <c r="D37" t="s">
        <v>19</v>
      </c>
      <c r="E37" t="str">
        <f>CONCATENATE(J37,". ",N37)</f>
        <v>03. Self-Propelled Powered Access</v>
      </c>
      <c r="F37">
        <v>75</v>
      </c>
      <c r="G37" t="b">
        <v>0</v>
      </c>
      <c r="H37">
        <v>11</v>
      </c>
      <c r="I37" s="193" t="s">
        <v>20</v>
      </c>
      <c r="J37" s="193" t="s">
        <v>188</v>
      </c>
      <c r="K37" s="188">
        <f>IFERROR(_xlfn.XLOOKUP(A37,[1]Fleet!A:A,[1]Fleet!E:E,""),"")</f>
        <v>0</v>
      </c>
      <c r="L37" s="188">
        <v>110</v>
      </c>
      <c r="M37" s="188" t="s">
        <v>281</v>
      </c>
      <c r="N37" s="188" t="s">
        <v>282</v>
      </c>
      <c r="O37">
        <v>35</v>
      </c>
      <c r="P37">
        <f>_xlfn.XLOOKUP(A37,'[1]Classic Net to delete'!D:D,'[1]Classic Net to delete'!AA:AA,0)</f>
        <v>11</v>
      </c>
    </row>
    <row r="38" spans="1:16" x14ac:dyDescent="0.25">
      <c r="A38" t="s">
        <v>283</v>
      </c>
      <c r="B38" t="s">
        <v>284</v>
      </c>
      <c r="C38">
        <v>112.35000000000001</v>
      </c>
      <c r="D38" t="s">
        <v>19</v>
      </c>
      <c r="E38" t="str">
        <f>CONCATENATE(J38,". ",N38)</f>
        <v>03. Self-Propelled Powered Access</v>
      </c>
      <c r="F38">
        <v>0</v>
      </c>
      <c r="G38" t="b">
        <v>1</v>
      </c>
      <c r="H38">
        <v>12</v>
      </c>
      <c r="I38" s="193" t="s">
        <v>20</v>
      </c>
      <c r="J38" s="193" t="s">
        <v>188</v>
      </c>
      <c r="K38" s="188">
        <f>IFERROR(_xlfn.XLOOKUP(A38,[1]Fleet!A:A,[1]Fleet!E:E,""),"")</f>
        <v>21</v>
      </c>
      <c r="L38" s="188">
        <v>105</v>
      </c>
      <c r="M38" s="188" t="s">
        <v>286</v>
      </c>
      <c r="N38" s="188" t="s">
        <v>282</v>
      </c>
      <c r="O38">
        <v>37</v>
      </c>
      <c r="P38">
        <f>_xlfn.XLOOKUP(A38,'[1]Classic Net to delete'!D:D,'[1]Classic Net to delete'!AA:AA,0)</f>
        <v>12</v>
      </c>
    </row>
    <row r="39" spans="1:16" x14ac:dyDescent="0.25">
      <c r="A39" t="s">
        <v>287</v>
      </c>
      <c r="B39" t="s">
        <v>288</v>
      </c>
      <c r="C39">
        <v>128.4</v>
      </c>
      <c r="D39" t="s">
        <v>19</v>
      </c>
      <c r="E39" t="str">
        <f>CONCATENATE(J39,". ",N39)</f>
        <v>03. Self-Propelled Powered Access</v>
      </c>
      <c r="F39">
        <v>0</v>
      </c>
      <c r="G39" t="b">
        <v>1</v>
      </c>
      <c r="H39">
        <v>13</v>
      </c>
      <c r="I39" s="193" t="s">
        <v>20</v>
      </c>
      <c r="J39" s="193" t="s">
        <v>188</v>
      </c>
      <c r="K39" s="188">
        <f>IFERROR(_xlfn.XLOOKUP(A39,[1]Fleet!A:A,[1]Fleet!E:E,""),"")</f>
        <v>16</v>
      </c>
      <c r="L39" s="188">
        <v>120</v>
      </c>
      <c r="M39" s="188" t="s">
        <v>289</v>
      </c>
      <c r="N39" s="188" t="s">
        <v>282</v>
      </c>
      <c r="O39">
        <v>36</v>
      </c>
      <c r="P39">
        <f>_xlfn.XLOOKUP(A39,'[1]Classic Net to delete'!D:D,'[1]Classic Net to delete'!AA:AA,0)</f>
        <v>13</v>
      </c>
    </row>
    <row r="40" spans="1:16" x14ac:dyDescent="0.25">
      <c r="A40" t="s">
        <v>292</v>
      </c>
      <c r="B40" t="s">
        <v>293</v>
      </c>
      <c r="C40">
        <v>155.15</v>
      </c>
      <c r="D40" t="s">
        <v>19</v>
      </c>
      <c r="E40" t="str">
        <f>CONCATENATE(J40,". ",N40)</f>
        <v>03. Self-Propelled Powered Access</v>
      </c>
      <c r="F40">
        <v>0</v>
      </c>
      <c r="G40" t="b">
        <v>1</v>
      </c>
      <c r="H40">
        <v>14</v>
      </c>
      <c r="I40" s="193" t="s">
        <v>20</v>
      </c>
      <c r="J40" s="193" t="s">
        <v>188</v>
      </c>
      <c r="K40" s="188">
        <f>IFERROR(_xlfn.XLOOKUP(A40,[1]Fleet!A:A,[1]Fleet!E:E,""),"")</f>
        <v>6</v>
      </c>
      <c r="L40" s="188">
        <v>145</v>
      </c>
      <c r="M40" s="188" t="s">
        <v>294</v>
      </c>
      <c r="N40" s="188" t="s">
        <v>282</v>
      </c>
      <c r="O40">
        <v>38</v>
      </c>
      <c r="P40">
        <f>_xlfn.XLOOKUP(A40,'[1]Classic Net to delete'!D:D,'[1]Classic Net to delete'!AA:AA,0)</f>
        <v>14</v>
      </c>
    </row>
    <row r="41" spans="1:16" x14ac:dyDescent="0.25">
      <c r="A41" t="s">
        <v>295</v>
      </c>
      <c r="B41" t="s">
        <v>296</v>
      </c>
      <c r="C41">
        <v>361.66</v>
      </c>
      <c r="D41" t="s">
        <v>19</v>
      </c>
      <c r="E41" t="str">
        <f>CONCATENATE(J41,". ",N41)</f>
        <v>03. Self-Propelled Powered Access</v>
      </c>
      <c r="F41">
        <v>0</v>
      </c>
      <c r="G41" t="b">
        <v>1</v>
      </c>
      <c r="H41">
        <v>15</v>
      </c>
      <c r="I41" s="193" t="s">
        <v>20</v>
      </c>
      <c r="J41" s="193" t="s">
        <v>188</v>
      </c>
      <c r="K41" s="188">
        <f>IFERROR(_xlfn.XLOOKUP(A41,[1]Fleet!A:A,[1]Fleet!E:E,""),"")</f>
        <v>2</v>
      </c>
      <c r="L41" s="188">
        <v>338</v>
      </c>
      <c r="M41" s="188" t="s">
        <v>297</v>
      </c>
      <c r="N41" s="188" t="s">
        <v>282</v>
      </c>
      <c r="O41">
        <v>39</v>
      </c>
      <c r="P41">
        <f>_xlfn.XLOOKUP(A41,'[1]Classic Net to delete'!D:D,'[1]Classic Net to delete'!AA:AA,0)</f>
        <v>15</v>
      </c>
    </row>
    <row r="42" spans="1:16" x14ac:dyDescent="0.25">
      <c r="A42" s="4" t="s">
        <v>2943</v>
      </c>
      <c r="B42" s="4" t="s">
        <v>2944</v>
      </c>
      <c r="C42">
        <v>61.26</v>
      </c>
      <c r="D42" t="s">
        <v>19</v>
      </c>
      <c r="E42" t="str">
        <f>CONCATENATE(J42,". ",N42)</f>
        <v>04. Aluminium Tower (WxL)</v>
      </c>
      <c r="F42">
        <v>75</v>
      </c>
      <c r="G42" t="b">
        <v>1</v>
      </c>
      <c r="H42">
        <v>0</v>
      </c>
      <c r="I42" s="193" t="s">
        <v>20</v>
      </c>
      <c r="J42" s="193" t="s">
        <v>269</v>
      </c>
      <c r="K42" s="188" t="str">
        <f>IFERROR(_xlfn.XLOOKUP(A42,[1]Fleet!A:A,[1]Fleet!E:E,""),"")</f>
        <v/>
      </c>
      <c r="M42" s="188" t="s">
        <v>76</v>
      </c>
      <c r="N42" s="188" t="s">
        <v>2917</v>
      </c>
      <c r="O42">
        <v>41</v>
      </c>
      <c r="P42">
        <f>_xlfn.XLOOKUP(A42,'[1]Classic Net to delete'!D:D,'[1]Classic Net to delete'!AA:AA,0)</f>
        <v>0</v>
      </c>
    </row>
    <row r="43" spans="1:16" x14ac:dyDescent="0.25">
      <c r="A43" s="4" t="s">
        <v>2945</v>
      </c>
      <c r="B43" s="4" t="s">
        <v>2946</v>
      </c>
      <c r="C43">
        <v>61.26</v>
      </c>
      <c r="D43" t="s">
        <v>19</v>
      </c>
      <c r="E43" t="str">
        <f>CONCATENATE(J43,". ",N43)</f>
        <v>04. Aluminium Tower (WxL)</v>
      </c>
      <c r="F43">
        <v>75</v>
      </c>
      <c r="G43" t="b">
        <v>1</v>
      </c>
      <c r="H43">
        <v>0</v>
      </c>
      <c r="I43" s="193" t="s">
        <v>20</v>
      </c>
      <c r="J43" s="193" t="s">
        <v>269</v>
      </c>
      <c r="K43" s="188" t="str">
        <f>IFERROR(_xlfn.XLOOKUP(A43,[1]Fleet!A:A,[1]Fleet!E:E,""),"")</f>
        <v/>
      </c>
      <c r="M43" s="188" t="s">
        <v>76</v>
      </c>
      <c r="N43" s="188" t="s">
        <v>2917</v>
      </c>
      <c r="O43">
        <v>42</v>
      </c>
      <c r="P43">
        <f>_xlfn.XLOOKUP(A43,'[1]Classic Net to delete'!D:D,'[1]Classic Net to delete'!AA:AA,0)</f>
        <v>0</v>
      </c>
    </row>
    <row r="44" spans="1:16" x14ac:dyDescent="0.25">
      <c r="A44" s="4" t="s">
        <v>2947</v>
      </c>
      <c r="B44" s="4" t="s">
        <v>2948</v>
      </c>
      <c r="C44">
        <v>61.26</v>
      </c>
      <c r="D44" t="s">
        <v>19</v>
      </c>
      <c r="E44" t="str">
        <f>CONCATENATE(J44,". ",N44)</f>
        <v>04. Aluminium Tower (WxL)</v>
      </c>
      <c r="F44">
        <v>75</v>
      </c>
      <c r="G44" t="b">
        <v>1</v>
      </c>
      <c r="H44">
        <v>0</v>
      </c>
      <c r="I44" s="193" t="s">
        <v>20</v>
      </c>
      <c r="J44" s="193" t="s">
        <v>269</v>
      </c>
      <c r="K44" s="188" t="str">
        <f>IFERROR(_xlfn.XLOOKUP(A44,[1]Fleet!A:A,[1]Fleet!E:E,""),"")</f>
        <v/>
      </c>
      <c r="M44" s="188" t="s">
        <v>76</v>
      </c>
      <c r="N44" s="188" t="s">
        <v>2917</v>
      </c>
      <c r="O44">
        <v>43</v>
      </c>
      <c r="P44">
        <f>_xlfn.XLOOKUP(A44,'[1]Classic Net to delete'!D:D,'[1]Classic Net to delete'!AA:AA,0)</f>
        <v>0</v>
      </c>
    </row>
    <row r="45" spans="1:16" x14ac:dyDescent="0.25">
      <c r="A45" s="4" t="s">
        <v>2942</v>
      </c>
      <c r="B45" s="4" t="s">
        <v>2937</v>
      </c>
      <c r="C45">
        <v>61.26</v>
      </c>
      <c r="D45" t="s">
        <v>19</v>
      </c>
      <c r="E45" t="str">
        <f>CONCATENATE(J45,". ",N45)</f>
        <v>04. Aluminium Tower (WxL)</v>
      </c>
      <c r="F45">
        <v>75</v>
      </c>
      <c r="G45" t="b">
        <v>1</v>
      </c>
      <c r="H45">
        <v>27</v>
      </c>
      <c r="I45" s="193" t="s">
        <v>20</v>
      </c>
      <c r="J45" s="193" t="s">
        <v>269</v>
      </c>
      <c r="K45" s="188" t="str">
        <f>IFERROR(_xlfn.XLOOKUP(A45,[1]Fleet!A:A,[1]Fleet!E:E,""),"")</f>
        <v/>
      </c>
      <c r="M45" s="188" t="s">
        <v>2937</v>
      </c>
      <c r="N45" s="188" t="s">
        <v>2917</v>
      </c>
      <c r="O45">
        <v>44</v>
      </c>
      <c r="P45">
        <f>_xlfn.XLOOKUP(A45,'[1]Classic Net to delete'!D:D,'[1]Classic Net to delete'!AA:AA,0)</f>
        <v>27</v>
      </c>
    </row>
    <row r="46" spans="1:16" x14ac:dyDescent="0.25">
      <c r="A46" s="4" t="s">
        <v>2949</v>
      </c>
      <c r="B46" s="4" t="s">
        <v>2939</v>
      </c>
      <c r="C46">
        <v>61.26</v>
      </c>
      <c r="D46" t="s">
        <v>19</v>
      </c>
      <c r="E46" t="str">
        <f>CONCATENATE(J46,". ",N46)</f>
        <v>04. Aluminium Tower (WxL)</v>
      </c>
      <c r="F46">
        <v>75</v>
      </c>
      <c r="G46" t="b">
        <v>1</v>
      </c>
      <c r="H46">
        <v>28</v>
      </c>
      <c r="I46" s="193" t="s">
        <v>20</v>
      </c>
      <c r="J46" s="193" t="s">
        <v>269</v>
      </c>
      <c r="K46" s="188" t="str">
        <f>IFERROR(_xlfn.XLOOKUP(A46,[1]Fleet!A:A,[1]Fleet!E:E,""),"")</f>
        <v/>
      </c>
      <c r="M46" s="188" t="s">
        <v>2939</v>
      </c>
      <c r="N46" s="188" t="s">
        <v>2917</v>
      </c>
      <c r="O46">
        <v>45</v>
      </c>
      <c r="P46">
        <f>_xlfn.XLOOKUP(A46,'[1]Classic Net to delete'!D:D,'[1]Classic Net to delete'!AA:AA,0)</f>
        <v>28</v>
      </c>
    </row>
    <row r="47" spans="1:16" x14ac:dyDescent="0.25">
      <c r="A47" s="4" t="s">
        <v>2950</v>
      </c>
      <c r="B47" s="4" t="s">
        <v>2951</v>
      </c>
      <c r="C47">
        <v>61.26</v>
      </c>
      <c r="D47" t="s">
        <v>19</v>
      </c>
      <c r="E47" t="str">
        <f>CONCATENATE(J47,". ",N47)</f>
        <v>04. Aluminium Tower (WxL)</v>
      </c>
      <c r="F47">
        <v>75</v>
      </c>
      <c r="G47" t="b">
        <v>1</v>
      </c>
      <c r="H47">
        <v>29</v>
      </c>
      <c r="I47" s="193" t="s">
        <v>20</v>
      </c>
      <c r="J47" s="193" t="s">
        <v>269</v>
      </c>
      <c r="K47" s="188" t="str">
        <f>IFERROR(_xlfn.XLOOKUP(A47,[1]Fleet!A:A,[1]Fleet!E:E,""),"")</f>
        <v/>
      </c>
      <c r="M47" s="188" t="s">
        <v>2951</v>
      </c>
      <c r="N47" s="188" t="s">
        <v>2917</v>
      </c>
      <c r="O47">
        <v>46</v>
      </c>
      <c r="P47">
        <f>_xlfn.XLOOKUP(A47,'[1]Classic Net to delete'!D:D,'[1]Classic Net to delete'!AA:AA,0)</f>
        <v>29</v>
      </c>
    </row>
    <row r="48" spans="1:16" x14ac:dyDescent="0.25">
      <c r="A48" s="4" t="s">
        <v>2915</v>
      </c>
      <c r="B48" s="4" t="s">
        <v>2916</v>
      </c>
      <c r="C48">
        <v>61.26</v>
      </c>
      <c r="D48" t="s">
        <v>19</v>
      </c>
      <c r="E48" t="str">
        <f>CONCATENATE(J48,". ",N48)</f>
        <v>04. Aluminium Tower (WxL)</v>
      </c>
      <c r="F48">
        <v>75</v>
      </c>
      <c r="G48" t="b">
        <v>1</v>
      </c>
      <c r="H48">
        <v>30</v>
      </c>
      <c r="I48" s="193" t="s">
        <v>20</v>
      </c>
      <c r="J48" s="193" t="s">
        <v>269</v>
      </c>
      <c r="K48" s="188" t="str">
        <f>IFERROR(_xlfn.XLOOKUP(A48,[1]Fleet!A:A,[1]Fleet!E:E,""),"")</f>
        <v/>
      </c>
      <c r="M48" s="188" t="s">
        <v>2916</v>
      </c>
      <c r="N48" s="188" t="s">
        <v>2917</v>
      </c>
      <c r="O48">
        <v>47</v>
      </c>
      <c r="P48">
        <f>_xlfn.XLOOKUP(A48,'[1]Classic Net to delete'!D:D,'[1]Classic Net to delete'!AA:AA,0)</f>
        <v>30</v>
      </c>
    </row>
    <row r="49" spans="1:16" x14ac:dyDescent="0.25">
      <c r="A49" s="4" t="s">
        <v>2918</v>
      </c>
      <c r="B49" s="4" t="s">
        <v>2919</v>
      </c>
      <c r="C49">
        <v>61.26</v>
      </c>
      <c r="D49" t="s">
        <v>19</v>
      </c>
      <c r="E49" t="str">
        <f>CONCATENATE(J49,". ",N49)</f>
        <v>04. Aluminium Tower (WxL)</v>
      </c>
      <c r="F49">
        <v>75</v>
      </c>
      <c r="G49" t="b">
        <v>1</v>
      </c>
      <c r="H49">
        <v>31</v>
      </c>
      <c r="I49" s="193" t="s">
        <v>20</v>
      </c>
      <c r="J49" s="193" t="s">
        <v>269</v>
      </c>
      <c r="K49" s="188" t="str">
        <f>IFERROR(_xlfn.XLOOKUP(A49,[1]Fleet!A:A,[1]Fleet!E:E,""),"")</f>
        <v/>
      </c>
      <c r="M49" s="188" t="s">
        <v>2919</v>
      </c>
      <c r="N49" s="188" t="s">
        <v>2917</v>
      </c>
      <c r="O49">
        <v>48</v>
      </c>
      <c r="P49">
        <f>_xlfn.XLOOKUP(A49,'[1]Classic Net to delete'!D:D,'[1]Classic Net to delete'!AA:AA,0)</f>
        <v>31</v>
      </c>
    </row>
    <row r="50" spans="1:16" x14ac:dyDescent="0.25">
      <c r="A50" s="4" t="s">
        <v>2920</v>
      </c>
      <c r="B50" s="4" t="s">
        <v>2921</v>
      </c>
      <c r="C50">
        <v>61.26</v>
      </c>
      <c r="D50" t="s">
        <v>19</v>
      </c>
      <c r="E50" t="str">
        <f>CONCATENATE(J50,". ",N50)</f>
        <v>04. Aluminium Tower (WxL)</v>
      </c>
      <c r="F50">
        <v>75</v>
      </c>
      <c r="G50" t="b">
        <v>1</v>
      </c>
      <c r="H50">
        <v>32</v>
      </c>
      <c r="I50" s="193" t="s">
        <v>20</v>
      </c>
      <c r="J50" s="193" t="s">
        <v>269</v>
      </c>
      <c r="K50" s="188" t="str">
        <f>IFERROR(_xlfn.XLOOKUP(A50,[1]Fleet!A:A,[1]Fleet!E:E,""),"")</f>
        <v/>
      </c>
      <c r="M50" s="188" t="s">
        <v>2921</v>
      </c>
      <c r="N50" s="188" t="s">
        <v>2917</v>
      </c>
      <c r="O50">
        <v>49</v>
      </c>
      <c r="P50">
        <f>_xlfn.XLOOKUP(A50,'[1]Classic Net to delete'!D:D,'[1]Classic Net to delete'!AA:AA,0)</f>
        <v>32</v>
      </c>
    </row>
    <row r="51" spans="1:16" x14ac:dyDescent="0.25">
      <c r="A51" s="1" t="s">
        <v>2936</v>
      </c>
      <c r="B51" t="s">
        <v>2937</v>
      </c>
      <c r="C51">
        <v>77.25</v>
      </c>
      <c r="D51" t="s">
        <v>19</v>
      </c>
      <c r="E51" t="str">
        <f>CONCATENATE(J51,". ",N51)</f>
        <v>05. Aluminium Tower - AGR (WxL)</v>
      </c>
      <c r="F51">
        <v>75</v>
      </c>
      <c r="G51" t="b">
        <v>1</v>
      </c>
      <c r="H51">
        <v>37</v>
      </c>
      <c r="I51" s="193" t="s">
        <v>20</v>
      </c>
      <c r="J51" s="193" t="s">
        <v>263</v>
      </c>
      <c r="K51" s="188" t="str">
        <f>IFERROR(_xlfn.XLOOKUP(A51,[1]Fleet!A:A,[1]Fleet!E:E,""),"")</f>
        <v/>
      </c>
      <c r="M51" s="188" t="s">
        <v>2937</v>
      </c>
      <c r="N51" s="188" t="s">
        <v>2933</v>
      </c>
      <c r="O51">
        <v>50</v>
      </c>
      <c r="P51">
        <f>_xlfn.XLOOKUP(A51,'[1]Classic Net to delete'!D:D,'[1]Classic Net to delete'!AA:AA,0)</f>
        <v>37</v>
      </c>
    </row>
    <row r="52" spans="1:16" x14ac:dyDescent="0.25">
      <c r="A52" s="1" t="s">
        <v>2938</v>
      </c>
      <c r="B52" t="s">
        <v>2939</v>
      </c>
      <c r="C52">
        <v>77.25</v>
      </c>
      <c r="D52" t="s">
        <v>19</v>
      </c>
      <c r="E52" t="str">
        <f>CONCATENATE(J52,". ",N52)</f>
        <v>05. Aluminium Tower - AGR (WxL)</v>
      </c>
      <c r="F52">
        <v>75</v>
      </c>
      <c r="G52" t="b">
        <v>1</v>
      </c>
      <c r="H52">
        <v>38</v>
      </c>
      <c r="I52" s="193" t="s">
        <v>20</v>
      </c>
      <c r="J52" s="193" t="s">
        <v>263</v>
      </c>
      <c r="K52" s="188" t="str">
        <f>IFERROR(_xlfn.XLOOKUP(A52,[1]Fleet!A:A,[1]Fleet!E:E,""),"")</f>
        <v/>
      </c>
      <c r="M52" s="188" t="s">
        <v>2939</v>
      </c>
      <c r="N52" s="188" t="s">
        <v>2933</v>
      </c>
      <c r="O52">
        <v>51</v>
      </c>
      <c r="P52">
        <f>_xlfn.XLOOKUP(A52,'[1]Classic Net to delete'!D:D,'[1]Classic Net to delete'!AA:AA,0)</f>
        <v>38</v>
      </c>
    </row>
    <row r="53" spans="1:16" x14ac:dyDescent="0.25">
      <c r="A53" s="1" t="s">
        <v>2931</v>
      </c>
      <c r="B53" t="s">
        <v>2932</v>
      </c>
      <c r="C53">
        <v>77.25</v>
      </c>
      <c r="D53" t="s">
        <v>19</v>
      </c>
      <c r="E53" t="str">
        <f>CONCATENATE(J53,". ",N53)</f>
        <v>05. Aluminium Tower - AGR (WxL)</v>
      </c>
      <c r="F53">
        <v>75</v>
      </c>
      <c r="G53" t="b">
        <v>1</v>
      </c>
      <c r="H53">
        <v>39</v>
      </c>
      <c r="I53" s="193" t="s">
        <v>20</v>
      </c>
      <c r="J53" s="193" t="s">
        <v>263</v>
      </c>
      <c r="K53" s="188" t="str">
        <f>IFERROR(_xlfn.XLOOKUP(A53,[1]Fleet!A:A,[1]Fleet!E:E,""),"")</f>
        <v/>
      </c>
      <c r="M53" s="188" t="s">
        <v>2932</v>
      </c>
      <c r="N53" s="188" t="s">
        <v>2933</v>
      </c>
      <c r="O53">
        <v>52</v>
      </c>
      <c r="P53">
        <f>_xlfn.XLOOKUP(A53,'[1]Classic Net to delete'!D:D,'[1]Classic Net to delete'!AA:AA,0)</f>
        <v>39</v>
      </c>
    </row>
    <row r="54" spans="1:16" x14ac:dyDescent="0.25">
      <c r="A54" s="1" t="s">
        <v>2934</v>
      </c>
      <c r="B54" t="s">
        <v>2935</v>
      </c>
      <c r="C54">
        <v>77.25</v>
      </c>
      <c r="D54" t="s">
        <v>19</v>
      </c>
      <c r="E54" t="str">
        <f>CONCATENATE(J54,". ",N54)</f>
        <v>05. Aluminium Tower - AGR (WxL)</v>
      </c>
      <c r="F54">
        <v>75</v>
      </c>
      <c r="G54" t="b">
        <v>1</v>
      </c>
      <c r="H54">
        <v>40</v>
      </c>
      <c r="I54" s="193" t="s">
        <v>20</v>
      </c>
      <c r="J54" s="193" t="s">
        <v>263</v>
      </c>
      <c r="K54" s="188" t="str">
        <f>IFERROR(_xlfn.XLOOKUP(A54,[1]Fleet!A:A,[1]Fleet!E:E,""),"")</f>
        <v/>
      </c>
      <c r="M54" s="188" t="s">
        <v>2935</v>
      </c>
      <c r="N54" s="188" t="s">
        <v>2933</v>
      </c>
      <c r="O54">
        <v>53</v>
      </c>
      <c r="P54">
        <f>_xlfn.XLOOKUP(A54,'[1]Classic Net to delete'!D:D,'[1]Classic Net to delete'!AA:AA,0)</f>
        <v>40</v>
      </c>
    </row>
    <row r="55" spans="1:16" x14ac:dyDescent="0.25">
      <c r="A55" t="s">
        <v>2905</v>
      </c>
      <c r="B55" s="1" t="s">
        <v>2906</v>
      </c>
      <c r="C55">
        <v>105.72</v>
      </c>
      <c r="D55" t="s">
        <v>19</v>
      </c>
      <c r="E55" t="str">
        <f>CONCATENATE(J55,". ",N55)</f>
        <v>06. Aluminium Tower Bridging Deck c/w handrail (L)</v>
      </c>
      <c r="F55">
        <v>75</v>
      </c>
      <c r="G55" t="b">
        <v>1</v>
      </c>
      <c r="H55">
        <v>64</v>
      </c>
      <c r="I55" s="193" t="s">
        <v>20</v>
      </c>
      <c r="J55" s="193" t="s">
        <v>259</v>
      </c>
      <c r="K55" s="188" t="str">
        <f>IFERROR(_xlfn.XLOOKUP(A55,[1]Fleet!A:A,[1]Fleet!E:E,""),"")</f>
        <v/>
      </c>
      <c r="M55" s="188" t="s">
        <v>2906</v>
      </c>
      <c r="N55" s="188" t="s">
        <v>2907</v>
      </c>
      <c r="O55">
        <v>54</v>
      </c>
      <c r="P55">
        <f>_xlfn.XLOOKUP(A55,'[1]Classic Net to delete'!D:D,'[1]Classic Net to delete'!AA:AA,0)</f>
        <v>64</v>
      </c>
    </row>
    <row r="56" spans="1:16" x14ac:dyDescent="0.25">
      <c r="A56" t="s">
        <v>2908</v>
      </c>
      <c r="B56" s="1" t="s">
        <v>2909</v>
      </c>
      <c r="C56">
        <v>122.73</v>
      </c>
      <c r="D56" t="s">
        <v>19</v>
      </c>
      <c r="E56" t="str">
        <f>CONCATENATE(J56,". ",N56)</f>
        <v>06. Aluminium Tower Bridging Deck c/w handrail (L)</v>
      </c>
      <c r="F56">
        <v>75</v>
      </c>
      <c r="G56" t="b">
        <v>1</v>
      </c>
      <c r="H56">
        <v>65</v>
      </c>
      <c r="I56" s="193" t="s">
        <v>20</v>
      </c>
      <c r="J56" s="193" t="s">
        <v>259</v>
      </c>
      <c r="K56" s="188" t="str">
        <f>IFERROR(_xlfn.XLOOKUP(A56,[1]Fleet!A:A,[1]Fleet!E:E,""),"")</f>
        <v/>
      </c>
      <c r="M56" s="188" t="s">
        <v>2909</v>
      </c>
      <c r="N56" s="188" t="s">
        <v>2907</v>
      </c>
      <c r="O56">
        <v>55</v>
      </c>
      <c r="P56">
        <f>_xlfn.XLOOKUP(A56,'[1]Classic Net to delete'!D:D,'[1]Classic Net to delete'!AA:AA,0)</f>
        <v>65</v>
      </c>
    </row>
    <row r="57" spans="1:16" x14ac:dyDescent="0.25">
      <c r="A57" t="s">
        <v>2910</v>
      </c>
      <c r="B57" s="1" t="s">
        <v>116</v>
      </c>
      <c r="C57">
        <v>134.39000000000001</v>
      </c>
      <c r="D57" t="s">
        <v>19</v>
      </c>
      <c r="E57" t="str">
        <f>CONCATENATE(J57,". ",N57)</f>
        <v>06. Aluminium Tower Bridging Deck c/w handrail (L)</v>
      </c>
      <c r="F57">
        <v>75</v>
      </c>
      <c r="G57" t="b">
        <v>1</v>
      </c>
      <c r="H57">
        <v>66</v>
      </c>
      <c r="I57" s="193" t="s">
        <v>20</v>
      </c>
      <c r="J57" s="193" t="s">
        <v>259</v>
      </c>
      <c r="K57" s="188" t="str">
        <f>IFERROR(_xlfn.XLOOKUP(A57,[1]Fleet!A:A,[1]Fleet!E:E,""),"")</f>
        <v/>
      </c>
      <c r="M57" s="188" t="s">
        <v>116</v>
      </c>
      <c r="N57" s="188" t="s">
        <v>2907</v>
      </c>
      <c r="O57">
        <v>56</v>
      </c>
      <c r="P57">
        <f>_xlfn.XLOOKUP(A57,'[1]Classic Net to delete'!D:D,'[1]Classic Net to delete'!AA:AA,0)</f>
        <v>66</v>
      </c>
    </row>
    <row r="58" spans="1:16" x14ac:dyDescent="0.25">
      <c r="A58" t="s">
        <v>2911</v>
      </c>
      <c r="B58" s="1" t="s">
        <v>119</v>
      </c>
      <c r="C58">
        <v>144.5</v>
      </c>
      <c r="D58" t="s">
        <v>19</v>
      </c>
      <c r="E58" t="str">
        <f>CONCATENATE(J58,". ",N58)</f>
        <v>06. Aluminium Tower Bridging Deck c/w handrail (L)</v>
      </c>
      <c r="F58">
        <v>75</v>
      </c>
      <c r="G58" t="b">
        <v>1</v>
      </c>
      <c r="H58">
        <v>67</v>
      </c>
      <c r="I58" s="193" t="s">
        <v>20</v>
      </c>
      <c r="J58" s="193" t="s">
        <v>259</v>
      </c>
      <c r="K58" s="188" t="str">
        <f>IFERROR(_xlfn.XLOOKUP(A58,[1]Fleet!A:A,[1]Fleet!E:E,""),"")</f>
        <v/>
      </c>
      <c r="M58" s="188" t="s">
        <v>119</v>
      </c>
      <c r="N58" s="188" t="s">
        <v>2907</v>
      </c>
      <c r="O58">
        <v>57</v>
      </c>
      <c r="P58">
        <f>_xlfn.XLOOKUP(A58,'[1]Classic Net to delete'!D:D,'[1]Classic Net to delete'!AA:AA,0)</f>
        <v>67</v>
      </c>
    </row>
    <row r="59" spans="1:16" x14ac:dyDescent="0.25">
      <c r="A59" t="s">
        <v>2898</v>
      </c>
      <c r="B59" s="1" t="s">
        <v>2899</v>
      </c>
      <c r="C59">
        <v>69.39</v>
      </c>
      <c r="D59" t="s">
        <v>19</v>
      </c>
      <c r="E59" t="str">
        <f>CONCATENATE(J59,". ",N59)</f>
        <v>07. Deskspan Access Platforms (LxPl./H)</v>
      </c>
      <c r="F59">
        <v>75</v>
      </c>
      <c r="G59" t="b">
        <v>1</v>
      </c>
      <c r="H59">
        <v>57</v>
      </c>
      <c r="I59" s="193" t="s">
        <v>20</v>
      </c>
      <c r="J59" s="193" t="s">
        <v>194</v>
      </c>
      <c r="K59" s="188" t="str">
        <f>IFERROR(_xlfn.XLOOKUP(A59,[1]Fleet!A:A,[1]Fleet!E:E,""),"")</f>
        <v/>
      </c>
      <c r="M59" s="188" t="s">
        <v>2899</v>
      </c>
      <c r="N59" s="188" t="s">
        <v>2900</v>
      </c>
      <c r="O59">
        <v>58</v>
      </c>
      <c r="P59">
        <f>_xlfn.XLOOKUP(A59,'[1]Classic Net to delete'!D:D,'[1]Classic Net to delete'!AA:AA,0)</f>
        <v>57</v>
      </c>
    </row>
    <row r="60" spans="1:16" x14ac:dyDescent="0.25">
      <c r="A60" t="s">
        <v>2903</v>
      </c>
      <c r="B60" s="1" t="s">
        <v>2904</v>
      </c>
      <c r="C60">
        <v>72.28</v>
      </c>
      <c r="D60" t="s">
        <v>19</v>
      </c>
      <c r="E60" t="str">
        <f>CONCATENATE(J60,". ",N60)</f>
        <v>07. Deskspan Access Platforms (LxPl./H)</v>
      </c>
      <c r="F60">
        <v>75</v>
      </c>
      <c r="G60" t="b">
        <v>1</v>
      </c>
      <c r="H60">
        <v>58</v>
      </c>
      <c r="I60" s="193" t="s">
        <v>20</v>
      </c>
      <c r="J60" s="193" t="s">
        <v>194</v>
      </c>
      <c r="K60" s="188" t="str">
        <f>IFERROR(_xlfn.XLOOKUP(A60,[1]Fleet!A:A,[1]Fleet!E:E,""),"")</f>
        <v/>
      </c>
      <c r="M60" s="188" t="s">
        <v>2904</v>
      </c>
      <c r="N60" s="188" t="s">
        <v>2900</v>
      </c>
      <c r="O60">
        <v>59</v>
      </c>
      <c r="P60">
        <f>_xlfn.XLOOKUP(A60,'[1]Classic Net to delete'!D:D,'[1]Classic Net to delete'!AA:AA,0)</f>
        <v>58</v>
      </c>
    </row>
    <row r="61" spans="1:16" x14ac:dyDescent="0.25">
      <c r="A61" t="s">
        <v>2901</v>
      </c>
      <c r="B61" s="1" t="s">
        <v>2902</v>
      </c>
      <c r="C61">
        <v>75.11</v>
      </c>
      <c r="D61" t="s">
        <v>19</v>
      </c>
      <c r="E61" t="str">
        <f>CONCATENATE(J61,". ",N61)</f>
        <v>07. Deskspan Access Platforms (LxPl./H)</v>
      </c>
      <c r="F61">
        <v>75</v>
      </c>
      <c r="G61" t="b">
        <v>1</v>
      </c>
      <c r="H61">
        <v>59</v>
      </c>
      <c r="I61" s="193" t="s">
        <v>20</v>
      </c>
      <c r="J61" s="193" t="s">
        <v>194</v>
      </c>
      <c r="K61" s="188" t="str">
        <f>IFERROR(_xlfn.XLOOKUP(A61,[1]Fleet!A:A,[1]Fleet!E:E,""),"")</f>
        <v/>
      </c>
      <c r="M61" s="188" t="s">
        <v>2902</v>
      </c>
      <c r="N61" s="188" t="s">
        <v>2900</v>
      </c>
      <c r="O61">
        <v>60</v>
      </c>
      <c r="P61">
        <f>_xlfn.XLOOKUP(A61,'[1]Classic Net to delete'!D:D,'[1]Classic Net to delete'!AA:AA,0)</f>
        <v>59</v>
      </c>
    </row>
    <row r="62" spans="1:16" x14ac:dyDescent="0.25">
      <c r="A62" s="1" t="s">
        <v>2922</v>
      </c>
      <c r="B62" s="1" t="s">
        <v>2923</v>
      </c>
      <c r="C62">
        <v>46.97</v>
      </c>
      <c r="D62" t="s">
        <v>19</v>
      </c>
      <c r="E62" t="str">
        <f>CONCATENATE(J62,". ",N62)</f>
        <v>08. Non-conductive GRP Tower (WxL)</v>
      </c>
      <c r="F62">
        <v>75</v>
      </c>
      <c r="G62" t="b">
        <v>1</v>
      </c>
      <c r="H62">
        <v>19</v>
      </c>
      <c r="I62" s="193" t="s">
        <v>20</v>
      </c>
      <c r="J62" s="193" t="s">
        <v>201</v>
      </c>
      <c r="K62" s="188" t="str">
        <f>IFERROR(_xlfn.XLOOKUP(A62,[1]Fleet!A:A,[1]Fleet!E:E,""),"")</f>
        <v/>
      </c>
      <c r="M62" s="188" t="s">
        <v>2923</v>
      </c>
      <c r="N62" s="190" t="s">
        <v>2924</v>
      </c>
      <c r="O62">
        <v>61</v>
      </c>
      <c r="P62">
        <f>_xlfn.XLOOKUP(A62,'[1]Classic Net to delete'!D:D,'[1]Classic Net to delete'!AA:AA,0)</f>
        <v>19</v>
      </c>
    </row>
    <row r="63" spans="1:16" x14ac:dyDescent="0.25">
      <c r="A63" s="1" t="s">
        <v>2925</v>
      </c>
      <c r="B63" s="1" t="s">
        <v>2926</v>
      </c>
      <c r="C63">
        <v>46.97</v>
      </c>
      <c r="D63" t="s">
        <v>19</v>
      </c>
      <c r="E63" t="str">
        <f>CONCATENATE(J63,". ",N63)</f>
        <v>08. Non-conductive GRP Tower (WxL)</v>
      </c>
      <c r="F63">
        <v>75</v>
      </c>
      <c r="G63" t="b">
        <v>1</v>
      </c>
      <c r="H63">
        <v>20</v>
      </c>
      <c r="I63" s="193" t="s">
        <v>20</v>
      </c>
      <c r="J63" s="193" t="s">
        <v>201</v>
      </c>
      <c r="K63" s="188" t="str">
        <f>IFERROR(_xlfn.XLOOKUP(A63,[1]Fleet!A:A,[1]Fleet!E:E,""),"")</f>
        <v/>
      </c>
      <c r="M63" s="188" t="s">
        <v>2926</v>
      </c>
      <c r="N63" s="190" t="s">
        <v>2924</v>
      </c>
      <c r="O63">
        <v>62</v>
      </c>
      <c r="P63">
        <f>_xlfn.XLOOKUP(A63,'[1]Classic Net to delete'!D:D,'[1]Classic Net to delete'!AA:AA,0)</f>
        <v>20</v>
      </c>
    </row>
    <row r="64" spans="1:16" x14ac:dyDescent="0.25">
      <c r="A64" s="1" t="s">
        <v>2927</v>
      </c>
      <c r="B64" s="1" t="s">
        <v>2928</v>
      </c>
      <c r="C64">
        <v>46.97</v>
      </c>
      <c r="D64" t="s">
        <v>19</v>
      </c>
      <c r="E64" t="str">
        <f>CONCATENATE(J64,". ",N64)</f>
        <v>08. Non-conductive GRP Tower (WxL)</v>
      </c>
      <c r="F64">
        <v>75</v>
      </c>
      <c r="G64" t="b">
        <v>1</v>
      </c>
      <c r="H64">
        <v>21</v>
      </c>
      <c r="I64" s="193" t="s">
        <v>20</v>
      </c>
      <c r="J64" s="193" t="s">
        <v>201</v>
      </c>
      <c r="K64" s="188" t="str">
        <f>IFERROR(_xlfn.XLOOKUP(A64,[1]Fleet!A:A,[1]Fleet!E:E,""),"")</f>
        <v/>
      </c>
      <c r="M64" s="188" t="s">
        <v>2928</v>
      </c>
      <c r="N64" s="190" t="s">
        <v>2924</v>
      </c>
      <c r="O64">
        <v>63</v>
      </c>
      <c r="P64">
        <f>_xlfn.XLOOKUP(A64,'[1]Classic Net to delete'!D:D,'[1]Classic Net to delete'!AA:AA,0)</f>
        <v>21</v>
      </c>
    </row>
    <row r="65" spans="1:16" x14ac:dyDescent="0.25">
      <c r="A65" s="1" t="s">
        <v>2929</v>
      </c>
      <c r="B65" s="1" t="s">
        <v>2930</v>
      </c>
      <c r="C65">
        <v>46.97</v>
      </c>
      <c r="D65" t="s">
        <v>19</v>
      </c>
      <c r="E65" t="str">
        <f>CONCATENATE(J65,". ",N65)</f>
        <v>08. Non-conductive GRP Tower (WxL)</v>
      </c>
      <c r="F65">
        <v>75</v>
      </c>
      <c r="G65" t="b">
        <v>1</v>
      </c>
      <c r="H65">
        <v>22</v>
      </c>
      <c r="I65" s="193" t="s">
        <v>20</v>
      </c>
      <c r="J65" s="193" t="s">
        <v>201</v>
      </c>
      <c r="K65" s="188" t="str">
        <f>IFERROR(_xlfn.XLOOKUP(A65,[1]Fleet!A:A,[1]Fleet!E:E,""),"")</f>
        <v/>
      </c>
      <c r="M65" s="188" t="s">
        <v>2930</v>
      </c>
      <c r="N65" s="190" t="s">
        <v>2924</v>
      </c>
      <c r="O65">
        <v>64</v>
      </c>
      <c r="P65">
        <f>_xlfn.XLOOKUP(A65,'[1]Classic Net to delete'!D:D,'[1]Classic Net to delete'!AA:AA,0)</f>
        <v>22</v>
      </c>
    </row>
    <row r="66" spans="1:16" x14ac:dyDescent="0.25">
      <c r="A66" t="s">
        <v>2952</v>
      </c>
      <c r="B66" t="s">
        <v>2953</v>
      </c>
      <c r="C66">
        <v>100.95</v>
      </c>
      <c r="D66" t="s">
        <v>19</v>
      </c>
      <c r="E66" t="str">
        <f>CONCATENATE(J66,". ",N66)</f>
        <v>09. Stairwell Tower (WxLxPl.H)</v>
      </c>
      <c r="F66">
        <v>75</v>
      </c>
      <c r="G66" t="b">
        <v>1</v>
      </c>
      <c r="H66">
        <v>52</v>
      </c>
      <c r="I66" s="193" t="s">
        <v>20</v>
      </c>
      <c r="J66" s="193" t="s">
        <v>234</v>
      </c>
      <c r="K66" s="188" t="str">
        <f>IFERROR(_xlfn.XLOOKUP(A66,[1]Fleet!A:A,[1]Fleet!E:E,""),"")</f>
        <v/>
      </c>
      <c r="M66" s="188" t="s">
        <v>2953</v>
      </c>
      <c r="N66" s="188" t="s">
        <v>2954</v>
      </c>
      <c r="O66">
        <v>65</v>
      </c>
      <c r="P66">
        <f>_xlfn.XLOOKUP(A66,'[1]Classic Net to delete'!D:D,'[1]Classic Net to delete'!AA:AA,0)</f>
        <v>52</v>
      </c>
    </row>
    <row r="67" spans="1:16" x14ac:dyDescent="0.25">
      <c r="A67" t="s">
        <v>2955</v>
      </c>
      <c r="B67" t="s">
        <v>2956</v>
      </c>
      <c r="C67">
        <v>37.56</v>
      </c>
      <c r="D67" t="s">
        <v>19</v>
      </c>
      <c r="E67" t="str">
        <f>CONCATENATE(J67,". ",N67)</f>
        <v>09. Stairwell Tower (WxLxPl.H)</v>
      </c>
      <c r="F67">
        <v>75</v>
      </c>
      <c r="G67" t="b">
        <v>1</v>
      </c>
      <c r="H67">
        <v>53</v>
      </c>
      <c r="I67" s="193" t="s">
        <v>20</v>
      </c>
      <c r="J67" s="193" t="s">
        <v>234</v>
      </c>
      <c r="K67" s="188" t="str">
        <f>IFERROR(_xlfn.XLOOKUP(A67,[1]Fleet!A:A,[1]Fleet!E:E,""),"")</f>
        <v/>
      </c>
      <c r="M67" s="188" t="s">
        <v>2956</v>
      </c>
      <c r="N67" s="188" t="s">
        <v>2954</v>
      </c>
      <c r="O67">
        <v>66</v>
      </c>
      <c r="P67">
        <f>_xlfn.XLOOKUP(A67,'[1]Classic Net to delete'!D:D,'[1]Classic Net to delete'!AA:AA,0)</f>
        <v>53</v>
      </c>
    </row>
    <row r="68" spans="1:16" x14ac:dyDescent="0.25">
      <c r="A68" t="s">
        <v>2940</v>
      </c>
      <c r="B68" t="s">
        <v>2941</v>
      </c>
      <c r="C68">
        <v>61.26</v>
      </c>
      <c r="D68" t="s">
        <v>19</v>
      </c>
      <c r="E68" t="str">
        <f>CONCATENATE(J68,". ",N68)</f>
        <v>10. Lift Shaft Aluminium Tower (WxL)</v>
      </c>
      <c r="F68">
        <v>75</v>
      </c>
      <c r="G68" t="b">
        <v>1</v>
      </c>
      <c r="H68">
        <v>46</v>
      </c>
      <c r="I68" s="193" t="s">
        <v>20</v>
      </c>
      <c r="J68" s="192">
        <v>10</v>
      </c>
      <c r="K68" s="188" t="str">
        <f>IFERROR(_xlfn.XLOOKUP(A68,[1]Fleet!A:A,[1]Fleet!E:E,""),"")</f>
        <v/>
      </c>
      <c r="M68" s="188" t="s">
        <v>2941</v>
      </c>
      <c r="N68" s="188" t="s">
        <v>2914</v>
      </c>
      <c r="O68">
        <v>67</v>
      </c>
      <c r="P68">
        <f>_xlfn.XLOOKUP(A68,'[1]Classic Net to delete'!D:D,'[1]Classic Net to delete'!AA:AA,0)</f>
        <v>46</v>
      </c>
    </row>
    <row r="69" spans="1:16" x14ac:dyDescent="0.25">
      <c r="A69" t="s">
        <v>2912</v>
      </c>
      <c r="B69" t="s">
        <v>2913</v>
      </c>
      <c r="C69">
        <v>61.26</v>
      </c>
      <c r="D69" t="s">
        <v>19</v>
      </c>
      <c r="E69" t="str">
        <f>CONCATENATE(J69,". ",N69)</f>
        <v>10. Lift Shaft Aluminium Tower (WxL)</v>
      </c>
      <c r="F69">
        <v>75</v>
      </c>
      <c r="G69" t="b">
        <v>1</v>
      </c>
      <c r="H69">
        <v>47</v>
      </c>
      <c r="I69" s="193" t="s">
        <v>20</v>
      </c>
      <c r="J69" s="192">
        <v>10</v>
      </c>
      <c r="K69" s="188" t="str">
        <f>IFERROR(_xlfn.XLOOKUP(A69,[1]Fleet!A:A,[1]Fleet!E:E,""),"")</f>
        <v/>
      </c>
      <c r="M69" s="188" t="s">
        <v>2913</v>
      </c>
      <c r="N69" s="188" t="s">
        <v>2914</v>
      </c>
      <c r="O69">
        <v>68</v>
      </c>
      <c r="P69">
        <f>_xlfn.XLOOKUP(A69,'[1]Classic Net to delete'!D:D,'[1]Classic Net to delete'!AA:AA,0)</f>
        <v>47</v>
      </c>
    </row>
    <row r="70" spans="1:16" x14ac:dyDescent="0.25">
      <c r="A70" t="s">
        <v>222</v>
      </c>
      <c r="B70" t="s">
        <v>223</v>
      </c>
      <c r="C70">
        <v>178.16</v>
      </c>
      <c r="D70" t="s">
        <v>19</v>
      </c>
      <c r="E70" t="str">
        <f>CONCATENATE(J70,". ",N70)</f>
        <v>11. Tower (WxLxH)</v>
      </c>
      <c r="F70">
        <v>75</v>
      </c>
      <c r="G70" t="b">
        <v>1</v>
      </c>
      <c r="H70">
        <v>0</v>
      </c>
      <c r="I70" s="193" t="s">
        <v>20</v>
      </c>
      <c r="J70" s="192">
        <v>11</v>
      </c>
      <c r="K70" s="188" t="str">
        <f>IFERROR(_xlfn.XLOOKUP(A70,[1]Fleet!A:A,[1]Fleet!E:E,""),"")</f>
        <v/>
      </c>
      <c r="L70" s="188" t="s">
        <v>76</v>
      </c>
      <c r="M70" s="188" t="s">
        <v>76</v>
      </c>
      <c r="N70" s="188" t="s">
        <v>215</v>
      </c>
      <c r="O70">
        <v>74</v>
      </c>
      <c r="P70">
        <f>_xlfn.XLOOKUP(A70,'[1]Classic Net to delete'!D:D,'[1]Classic Net to delete'!AA:AA,0)</f>
        <v>0</v>
      </c>
    </row>
    <row r="71" spans="1:16" x14ac:dyDescent="0.25">
      <c r="A71" t="s">
        <v>255</v>
      </c>
      <c r="B71" t="s">
        <v>256</v>
      </c>
      <c r="C71">
        <v>162.16</v>
      </c>
      <c r="D71" t="s">
        <v>19</v>
      </c>
      <c r="E71" t="str">
        <f>CONCATENATE(J71,". ",N71)</f>
        <v>11. Tower (WxLxH)</v>
      </c>
      <c r="F71">
        <v>75</v>
      </c>
      <c r="G71" t="b">
        <v>0</v>
      </c>
      <c r="H71">
        <v>0</v>
      </c>
      <c r="I71" s="193" t="s">
        <v>20</v>
      </c>
      <c r="J71" s="192">
        <v>11</v>
      </c>
      <c r="K71" s="188">
        <f>IFERROR(_xlfn.XLOOKUP(A71,[1]Fleet!A:A,[1]Fleet!E:E,""),"")</f>
        <v>0</v>
      </c>
      <c r="L71" s="188" t="s">
        <v>76</v>
      </c>
      <c r="M71" s="188" t="s">
        <v>76</v>
      </c>
      <c r="N71" s="188" t="s">
        <v>215</v>
      </c>
      <c r="O71">
        <v>73</v>
      </c>
      <c r="P71">
        <f>_xlfn.XLOOKUP(A71,'[1]Classic Net to delete'!D:D,'[1]Classic Net to delete'!AA:AA,0)</f>
        <v>0</v>
      </c>
    </row>
    <row r="72" spans="1:16" x14ac:dyDescent="0.25">
      <c r="A72" t="s">
        <v>212</v>
      </c>
      <c r="B72" t="s">
        <v>213</v>
      </c>
      <c r="C72">
        <v>162.16</v>
      </c>
      <c r="D72" t="s">
        <v>19</v>
      </c>
      <c r="E72" t="str">
        <f>CONCATENATE(J72,". ",N72)</f>
        <v>11. Tower (WxLxH)</v>
      </c>
      <c r="F72">
        <v>75</v>
      </c>
      <c r="G72" t="b">
        <v>1</v>
      </c>
      <c r="H72">
        <v>89</v>
      </c>
      <c r="I72" s="193" t="s">
        <v>20</v>
      </c>
      <c r="J72" s="192">
        <v>11</v>
      </c>
      <c r="K72" s="188">
        <f>IFERROR(_xlfn.XLOOKUP(A72,[1]Fleet!A:A,[1]Fleet!E:E,""),"")</f>
        <v>36</v>
      </c>
      <c r="L72" s="188">
        <v>151.55000000000001</v>
      </c>
      <c r="M72" s="188" t="s">
        <v>214</v>
      </c>
      <c r="N72" s="188" t="s">
        <v>215</v>
      </c>
      <c r="O72">
        <v>70</v>
      </c>
      <c r="P72">
        <f>_xlfn.XLOOKUP(A72,'[1]Classic Net to delete'!D:D,'[1]Classic Net to delete'!AA:AA,0)</f>
        <v>89</v>
      </c>
    </row>
    <row r="73" spans="1:16" x14ac:dyDescent="0.25">
      <c r="A73" t="s">
        <v>219</v>
      </c>
      <c r="B73" t="s">
        <v>220</v>
      </c>
      <c r="C73">
        <v>206.67000000000002</v>
      </c>
      <c r="D73" t="s">
        <v>19</v>
      </c>
      <c r="E73" t="str">
        <f>CONCATENATE(J73,". ",N73)</f>
        <v>11. Tower (WxLxH)</v>
      </c>
      <c r="F73">
        <v>75</v>
      </c>
      <c r="G73" t="b">
        <v>1</v>
      </c>
      <c r="H73">
        <v>90</v>
      </c>
      <c r="I73" s="193" t="s">
        <v>20</v>
      </c>
      <c r="J73" s="192">
        <v>11</v>
      </c>
      <c r="K73" s="188">
        <f>IFERROR(_xlfn.XLOOKUP(A73,[1]Fleet!A:A,[1]Fleet!E:E,""),"")</f>
        <v>8</v>
      </c>
      <c r="L73" s="188">
        <v>193.15</v>
      </c>
      <c r="M73" s="188" t="s">
        <v>221</v>
      </c>
      <c r="N73" s="188" t="s">
        <v>215</v>
      </c>
      <c r="O73">
        <v>72</v>
      </c>
      <c r="P73">
        <f>_xlfn.XLOOKUP(A73,'[1]Classic Net to delete'!D:D,'[1]Classic Net to delete'!AA:AA,0)</f>
        <v>90</v>
      </c>
    </row>
    <row r="74" spans="1:16" x14ac:dyDescent="0.25">
      <c r="A74" t="s">
        <v>216</v>
      </c>
      <c r="B74" t="s">
        <v>217</v>
      </c>
      <c r="C74">
        <v>50.45</v>
      </c>
      <c r="D74" t="s">
        <v>19</v>
      </c>
      <c r="E74" t="str">
        <f>CONCATENATE(J74,". ",N74)</f>
        <v>11. Tower (WxLxH)</v>
      </c>
      <c r="F74">
        <v>75</v>
      </c>
      <c r="G74" t="b">
        <v>1</v>
      </c>
      <c r="H74">
        <v>94</v>
      </c>
      <c r="I74" s="193" t="s">
        <v>20</v>
      </c>
      <c r="J74" s="192">
        <v>11</v>
      </c>
      <c r="K74" s="188">
        <f>IFERROR(_xlfn.XLOOKUP(A74,[1]Fleet!A:A,[1]Fleet!E:E,""),"")</f>
        <v>2</v>
      </c>
      <c r="L74" s="188">
        <v>47.150000000000006</v>
      </c>
      <c r="M74" s="188" t="s">
        <v>218</v>
      </c>
      <c r="N74" s="188" t="s">
        <v>215</v>
      </c>
      <c r="O74">
        <v>69</v>
      </c>
      <c r="P74">
        <f>_xlfn.XLOOKUP(A74,'[1]Classic Net to delete'!D:D,'[1]Classic Net to delete'!AA:AA,0)</f>
        <v>94</v>
      </c>
    </row>
    <row r="75" spans="1:16" x14ac:dyDescent="0.25">
      <c r="A75" t="s">
        <v>224</v>
      </c>
      <c r="B75" t="s">
        <v>225</v>
      </c>
      <c r="C75">
        <v>52.06</v>
      </c>
      <c r="D75" t="s">
        <v>19</v>
      </c>
      <c r="E75" t="str">
        <f>CONCATENATE(J75,". ",N75)</f>
        <v>11. Tower (WxLxH)</v>
      </c>
      <c r="F75">
        <v>75</v>
      </c>
      <c r="G75" t="b">
        <v>1</v>
      </c>
      <c r="H75">
        <v>98</v>
      </c>
      <c r="I75" s="193" t="s">
        <v>20</v>
      </c>
      <c r="J75" s="192">
        <v>11</v>
      </c>
      <c r="K75" s="188">
        <f>IFERROR(_xlfn.XLOOKUP(A75,[1]Fleet!A:A,[1]Fleet!E:E,""),"")</f>
        <v>59</v>
      </c>
      <c r="L75" s="188">
        <v>48.650000000000006</v>
      </c>
      <c r="M75" s="188" t="s">
        <v>226</v>
      </c>
      <c r="N75" s="188" t="s">
        <v>215</v>
      </c>
      <c r="O75">
        <v>71</v>
      </c>
      <c r="P75">
        <f>_xlfn.XLOOKUP(A75,'[1]Classic Net to delete'!D:D,'[1]Classic Net to delete'!AA:AA,0)</f>
        <v>98</v>
      </c>
    </row>
    <row r="76" spans="1:16" x14ac:dyDescent="0.25">
      <c r="A76" t="s">
        <v>155</v>
      </c>
      <c r="B76" t="s">
        <v>156</v>
      </c>
      <c r="C76">
        <v>61.2</v>
      </c>
      <c r="D76" t="s">
        <v>19</v>
      </c>
      <c r="E76" t="str">
        <f>CONCATENATE(J76,". ",N76)</f>
        <v>12. Podiums &amp; Platforms</v>
      </c>
      <c r="F76">
        <v>75</v>
      </c>
      <c r="G76" t="b">
        <v>0</v>
      </c>
      <c r="H76">
        <v>0</v>
      </c>
      <c r="I76" s="193" t="s">
        <v>20</v>
      </c>
      <c r="J76" s="192">
        <v>12</v>
      </c>
      <c r="K76" s="188">
        <f>IFERROR(_xlfn.XLOOKUP(A76,[1]Fleet!A:A,[1]Fleet!E:E,""),"")</f>
        <v>21</v>
      </c>
      <c r="L76" s="188" t="s">
        <v>76</v>
      </c>
      <c r="M76" s="188" t="s">
        <v>76</v>
      </c>
      <c r="N76" s="188" t="s">
        <v>151</v>
      </c>
      <c r="O76">
        <v>78</v>
      </c>
      <c r="P76">
        <f>_xlfn.XLOOKUP(A76,'[1]Classic Net to delete'!D:D,'[1]Classic Net to delete'!AA:AA,0)</f>
        <v>0</v>
      </c>
    </row>
    <row r="77" spans="1:16" x14ac:dyDescent="0.25">
      <c r="A77" t="s">
        <v>157</v>
      </c>
      <c r="B77" t="s">
        <v>158</v>
      </c>
      <c r="C77">
        <v>61.2</v>
      </c>
      <c r="D77" t="s">
        <v>19</v>
      </c>
      <c r="E77" t="str">
        <f>CONCATENATE(J77,". ",N77)</f>
        <v>12. Podiums &amp; Platforms</v>
      </c>
      <c r="F77">
        <v>75</v>
      </c>
      <c r="G77" t="b">
        <v>0</v>
      </c>
      <c r="H77">
        <v>0</v>
      </c>
      <c r="I77" s="193" t="s">
        <v>20</v>
      </c>
      <c r="J77" s="192">
        <v>12</v>
      </c>
      <c r="K77" s="188">
        <f>IFERROR(_xlfn.XLOOKUP(A77,[1]Fleet!A:A,[1]Fleet!E:E,""),"")</f>
        <v>93</v>
      </c>
      <c r="L77" s="188" t="s">
        <v>76</v>
      </c>
      <c r="M77" s="188" t="s">
        <v>76</v>
      </c>
      <c r="N77" s="188" t="s">
        <v>151</v>
      </c>
      <c r="O77">
        <v>82</v>
      </c>
      <c r="P77">
        <f>_xlfn.XLOOKUP(A77,'[1]Classic Net to delete'!D:D,'[1]Classic Net to delete'!AA:AA,0)</f>
        <v>0</v>
      </c>
    </row>
    <row r="78" spans="1:16" x14ac:dyDescent="0.25">
      <c r="A78" t="s">
        <v>162</v>
      </c>
      <c r="B78" t="s">
        <v>163</v>
      </c>
      <c r="C78">
        <v>70.989999999999995</v>
      </c>
      <c r="D78" t="s">
        <v>19</v>
      </c>
      <c r="E78" t="str">
        <f>CONCATENATE(J78,". ",N78)</f>
        <v>12. Podiums &amp; Platforms</v>
      </c>
      <c r="F78">
        <v>75</v>
      </c>
      <c r="G78" t="b">
        <v>0</v>
      </c>
      <c r="H78">
        <v>0</v>
      </c>
      <c r="I78" s="193" t="s">
        <v>20</v>
      </c>
      <c r="J78" s="192">
        <v>12</v>
      </c>
      <c r="K78" s="188">
        <f>IFERROR(_xlfn.XLOOKUP(A78,[1]Fleet!A:A,[1]Fleet!E:E,""),"")</f>
        <v>86</v>
      </c>
      <c r="L78" s="188" t="s">
        <v>76</v>
      </c>
      <c r="M78" s="188" t="s">
        <v>76</v>
      </c>
      <c r="N78" s="188" t="s">
        <v>151</v>
      </c>
      <c r="O78">
        <v>83</v>
      </c>
      <c r="P78">
        <f>_xlfn.XLOOKUP(A78,'[1]Classic Net to delete'!D:D,'[1]Classic Net to delete'!AA:AA,0)</f>
        <v>0</v>
      </c>
    </row>
    <row r="79" spans="1:16" x14ac:dyDescent="0.25">
      <c r="A79" t="s">
        <v>164</v>
      </c>
      <c r="B79" t="s">
        <v>165</v>
      </c>
      <c r="C79">
        <v>0</v>
      </c>
      <c r="D79" t="s">
        <v>19</v>
      </c>
      <c r="E79" t="str">
        <f>CONCATENATE(J79,". ",N79)</f>
        <v>12. Podiums &amp; Platforms</v>
      </c>
      <c r="F79">
        <v>75</v>
      </c>
      <c r="G79" t="b">
        <v>0</v>
      </c>
      <c r="H79">
        <v>0</v>
      </c>
      <c r="I79" s="193" t="s">
        <v>20</v>
      </c>
      <c r="J79" s="192">
        <v>12</v>
      </c>
      <c r="K79" s="188" t="str">
        <f>IFERROR(_xlfn.XLOOKUP(A79,[1]Fleet!A:A,[1]Fleet!E:E,""),"")</f>
        <v/>
      </c>
      <c r="L79" s="188" t="s">
        <v>76</v>
      </c>
      <c r="M79" s="188" t="s">
        <v>76</v>
      </c>
      <c r="N79" s="188" t="s">
        <v>151</v>
      </c>
      <c r="O79">
        <v>89</v>
      </c>
      <c r="P79">
        <f>_xlfn.XLOOKUP(A79,'[1]Classic Net to delete'!D:D,'[1]Classic Net to delete'!AA:AA,0)</f>
        <v>0</v>
      </c>
    </row>
    <row r="80" spans="1:16" x14ac:dyDescent="0.25">
      <c r="A80" t="s">
        <v>166</v>
      </c>
      <c r="B80" t="s">
        <v>167</v>
      </c>
      <c r="C80">
        <v>113.58</v>
      </c>
      <c r="D80" t="s">
        <v>19</v>
      </c>
      <c r="E80" t="str">
        <f>CONCATENATE(J80,". ",N80)</f>
        <v>12. Podiums &amp; Platforms</v>
      </c>
      <c r="F80">
        <v>75</v>
      </c>
      <c r="G80" t="b">
        <v>0</v>
      </c>
      <c r="H80">
        <v>0</v>
      </c>
      <c r="I80" s="193" t="s">
        <v>20</v>
      </c>
      <c r="J80" s="192">
        <v>12</v>
      </c>
      <c r="K80" s="188">
        <f>IFERROR(_xlfn.XLOOKUP(A80,[1]Fleet!A:A,[1]Fleet!E:E,""),"")</f>
        <v>23</v>
      </c>
      <c r="L80" s="188" t="s">
        <v>76</v>
      </c>
      <c r="M80" s="188" t="s">
        <v>76</v>
      </c>
      <c r="N80" s="188" t="s">
        <v>151</v>
      </c>
      <c r="O80">
        <v>79</v>
      </c>
      <c r="P80">
        <f>_xlfn.XLOOKUP(A80,'[1]Classic Net to delete'!D:D,'[1]Classic Net to delete'!AA:AA,0)</f>
        <v>0</v>
      </c>
    </row>
    <row r="81" spans="1:16" x14ac:dyDescent="0.25">
      <c r="A81" t="s">
        <v>230</v>
      </c>
      <c r="B81" t="s">
        <v>231</v>
      </c>
      <c r="C81">
        <v>58.69</v>
      </c>
      <c r="D81" t="s">
        <v>19</v>
      </c>
      <c r="E81" t="str">
        <f>CONCATENATE(J81,". ",N81)</f>
        <v>12. Podiums &amp; Platforms</v>
      </c>
      <c r="F81">
        <v>75</v>
      </c>
      <c r="G81" t="b">
        <v>0</v>
      </c>
      <c r="H81">
        <v>0</v>
      </c>
      <c r="I81" s="193" t="s">
        <v>20</v>
      </c>
      <c r="J81" s="192">
        <v>12</v>
      </c>
      <c r="K81" s="188">
        <f>IFERROR(_xlfn.XLOOKUP(A81,[1]Fleet!A:A,[1]Fleet!E:E,""),"")</f>
        <v>1</v>
      </c>
      <c r="L81" s="188" t="s">
        <v>76</v>
      </c>
      <c r="M81" s="188" t="s">
        <v>76</v>
      </c>
      <c r="N81" s="188" t="s">
        <v>151</v>
      </c>
      <c r="O81">
        <v>90</v>
      </c>
      <c r="P81">
        <f>_xlfn.XLOOKUP(A81,'[1]Classic Net to delete'!D:D,'[1]Classic Net to delete'!AA:AA,0)</f>
        <v>0</v>
      </c>
    </row>
    <row r="82" spans="1:16" x14ac:dyDescent="0.25">
      <c r="A82" t="s">
        <v>275</v>
      </c>
      <c r="B82" t="s">
        <v>276</v>
      </c>
      <c r="C82">
        <v>230.72</v>
      </c>
      <c r="D82" t="s">
        <v>19</v>
      </c>
      <c r="E82" t="str">
        <f>CONCATENATE(J82,". ",N82)</f>
        <v>12. Podiums &amp; Platforms</v>
      </c>
      <c r="F82">
        <v>75</v>
      </c>
      <c r="G82" t="b">
        <v>0</v>
      </c>
      <c r="H82">
        <v>0</v>
      </c>
      <c r="I82" s="193" t="s">
        <v>20</v>
      </c>
      <c r="J82" s="192">
        <v>12</v>
      </c>
      <c r="K82" s="188">
        <f>IFERROR(_xlfn.XLOOKUP(A82,[1]Fleet!A:A,[1]Fleet!E:E,""),"")</f>
        <v>14</v>
      </c>
      <c r="L82" s="188" t="s">
        <v>76</v>
      </c>
      <c r="M82" s="188" t="s">
        <v>76</v>
      </c>
      <c r="N82" s="188" t="s">
        <v>151</v>
      </c>
      <c r="O82">
        <v>91</v>
      </c>
      <c r="P82">
        <f>_xlfn.XLOOKUP(A82,'[1]Classic Net to delete'!D:D,'[1]Classic Net to delete'!AA:AA,0)</f>
        <v>0</v>
      </c>
    </row>
    <row r="83" spans="1:16" x14ac:dyDescent="0.25">
      <c r="A83" t="s">
        <v>174</v>
      </c>
      <c r="B83" t="s">
        <v>175</v>
      </c>
      <c r="C83">
        <v>66.88</v>
      </c>
      <c r="D83" t="s">
        <v>19</v>
      </c>
      <c r="E83" t="str">
        <f>CONCATENATE(J83,". ",N83)</f>
        <v>12. Podiums &amp; Platforms</v>
      </c>
      <c r="F83">
        <v>75</v>
      </c>
      <c r="G83" t="b">
        <v>1</v>
      </c>
      <c r="H83">
        <v>70</v>
      </c>
      <c r="I83" s="193" t="s">
        <v>20</v>
      </c>
      <c r="J83" s="192">
        <v>12</v>
      </c>
      <c r="K83" s="188">
        <f>IFERROR(_xlfn.XLOOKUP(A83,[1]Fleet!A:A,[1]Fleet!E:E,""),"")</f>
        <v>25</v>
      </c>
      <c r="L83" s="188">
        <v>62.5</v>
      </c>
      <c r="M83" s="188" t="s">
        <v>176</v>
      </c>
      <c r="N83" s="188" t="s">
        <v>151</v>
      </c>
      <c r="O83">
        <v>92</v>
      </c>
      <c r="P83">
        <f>_xlfn.XLOOKUP(A83,'[1]Classic Net to delete'!D:D,'[1]Classic Net to delete'!AA:AA,0)</f>
        <v>70</v>
      </c>
    </row>
    <row r="84" spans="1:16" x14ac:dyDescent="0.25">
      <c r="A84" t="s">
        <v>148</v>
      </c>
      <c r="B84" t="s">
        <v>149</v>
      </c>
      <c r="C84">
        <v>61.2</v>
      </c>
      <c r="D84" t="s">
        <v>19</v>
      </c>
      <c r="E84" t="str">
        <f>CONCATENATE(J84,". ",N84)</f>
        <v>12. Podiums &amp; Platforms</v>
      </c>
      <c r="F84">
        <v>75</v>
      </c>
      <c r="G84" t="b">
        <v>1</v>
      </c>
      <c r="H84">
        <v>71</v>
      </c>
      <c r="I84" s="193" t="s">
        <v>20</v>
      </c>
      <c r="J84" s="192">
        <v>12</v>
      </c>
      <c r="K84" s="188">
        <f>IFERROR(_xlfn.XLOOKUP(A84,[1]Fleet!A:A,[1]Fleet!E:E,""),"")</f>
        <v>10</v>
      </c>
      <c r="L84" s="188">
        <v>57.2</v>
      </c>
      <c r="M84" s="188" t="s">
        <v>150</v>
      </c>
      <c r="N84" s="188" t="s">
        <v>151</v>
      </c>
      <c r="O84">
        <v>80</v>
      </c>
      <c r="P84">
        <f>_xlfn.XLOOKUP(A84,'[1]Classic Net to delete'!D:D,'[1]Classic Net to delete'!AA:AA,0)</f>
        <v>71</v>
      </c>
    </row>
    <row r="85" spans="1:16" x14ac:dyDescent="0.25">
      <c r="A85" t="s">
        <v>152</v>
      </c>
      <c r="B85" t="s">
        <v>153</v>
      </c>
      <c r="C85">
        <v>61.2</v>
      </c>
      <c r="D85" t="s">
        <v>19</v>
      </c>
      <c r="E85" t="str">
        <f>CONCATENATE(J85,". ",N85)</f>
        <v>12. Podiums &amp; Platforms</v>
      </c>
      <c r="F85">
        <v>75</v>
      </c>
      <c r="G85" t="b">
        <v>1</v>
      </c>
      <c r="H85">
        <v>72</v>
      </c>
      <c r="I85" s="193" t="s">
        <v>20</v>
      </c>
      <c r="J85" s="192">
        <v>12</v>
      </c>
      <c r="K85" s="188">
        <f>IFERROR(_xlfn.XLOOKUP(A85,[1]Fleet!A:A,[1]Fleet!E:E,""),"")</f>
        <v>4</v>
      </c>
      <c r="L85" s="188">
        <v>57.2</v>
      </c>
      <c r="M85" s="188" t="s">
        <v>154</v>
      </c>
      <c r="N85" s="188" t="s">
        <v>151</v>
      </c>
      <c r="O85">
        <v>85</v>
      </c>
      <c r="P85">
        <f>_xlfn.XLOOKUP(A85,'[1]Classic Net to delete'!D:D,'[1]Classic Net to delete'!AA:AA,0)</f>
        <v>72</v>
      </c>
    </row>
    <row r="86" spans="1:16" x14ac:dyDescent="0.25">
      <c r="A86" t="s">
        <v>159</v>
      </c>
      <c r="B86" t="s">
        <v>160</v>
      </c>
      <c r="C86">
        <v>70.989999999999995</v>
      </c>
      <c r="D86" t="s">
        <v>19</v>
      </c>
      <c r="E86" t="str">
        <f>CONCATENATE(J86,". ",N86)</f>
        <v>12. Podiums &amp; Platforms</v>
      </c>
      <c r="F86">
        <v>75</v>
      </c>
      <c r="G86" t="b">
        <v>1</v>
      </c>
      <c r="H86">
        <v>73</v>
      </c>
      <c r="I86" s="193" t="s">
        <v>20</v>
      </c>
      <c r="J86" s="192">
        <v>12</v>
      </c>
      <c r="K86" s="188">
        <f>IFERROR(_xlfn.XLOOKUP(A86,[1]Fleet!A:A,[1]Fleet!E:E,""),"")</f>
        <v>103</v>
      </c>
      <c r="L86" s="188">
        <v>66.350000000000009</v>
      </c>
      <c r="M86" s="188" t="s">
        <v>161</v>
      </c>
      <c r="N86" s="188" t="s">
        <v>151</v>
      </c>
      <c r="O86">
        <v>76</v>
      </c>
      <c r="P86">
        <f>_xlfn.XLOOKUP(A86,'[1]Classic Net to delete'!D:D,'[1]Classic Net to delete'!AA:AA,0)</f>
        <v>73</v>
      </c>
    </row>
    <row r="87" spans="1:16" x14ac:dyDescent="0.25">
      <c r="A87" t="s">
        <v>168</v>
      </c>
      <c r="B87" t="s">
        <v>169</v>
      </c>
      <c r="C87">
        <v>113.58</v>
      </c>
      <c r="D87" t="s">
        <v>19</v>
      </c>
      <c r="E87" t="str">
        <f>CONCATENATE(J87,". ",N87)</f>
        <v>12. Podiums &amp; Platforms</v>
      </c>
      <c r="F87">
        <v>75</v>
      </c>
      <c r="G87" t="b">
        <v>1</v>
      </c>
      <c r="H87">
        <v>74</v>
      </c>
      <c r="I87" s="193" t="s">
        <v>20</v>
      </c>
      <c r="J87" s="192">
        <v>12</v>
      </c>
      <c r="K87" s="188">
        <f>IFERROR(_xlfn.XLOOKUP(A87,[1]Fleet!A:A,[1]Fleet!E:E,""),"")</f>
        <v>51</v>
      </c>
      <c r="L87" s="188">
        <v>106.15</v>
      </c>
      <c r="M87" s="188" t="s">
        <v>170</v>
      </c>
      <c r="N87" s="188" t="s">
        <v>151</v>
      </c>
      <c r="O87">
        <v>84</v>
      </c>
      <c r="P87">
        <f>_xlfn.XLOOKUP(A87,'[1]Classic Net to delete'!D:D,'[1]Classic Net to delete'!AA:AA,0)</f>
        <v>74</v>
      </c>
    </row>
    <row r="88" spans="1:16" x14ac:dyDescent="0.25">
      <c r="A88" t="s">
        <v>171</v>
      </c>
      <c r="B88" t="s">
        <v>172</v>
      </c>
      <c r="C88">
        <v>151.41</v>
      </c>
      <c r="D88" t="s">
        <v>19</v>
      </c>
      <c r="E88" t="str">
        <f>CONCATENATE(J88,". ",N88)</f>
        <v>12. Podiums &amp; Platforms</v>
      </c>
      <c r="F88">
        <v>75</v>
      </c>
      <c r="G88" t="b">
        <v>1</v>
      </c>
      <c r="H88">
        <v>75</v>
      </c>
      <c r="I88" s="193" t="s">
        <v>20</v>
      </c>
      <c r="J88" s="192">
        <v>12</v>
      </c>
      <c r="K88" s="188">
        <f>IFERROR(_xlfn.XLOOKUP(A88,[1]Fleet!A:A,[1]Fleet!E:E,""),"")</f>
        <v>2</v>
      </c>
      <c r="L88" s="188">
        <v>141.5</v>
      </c>
      <c r="M88" s="188" t="s">
        <v>173</v>
      </c>
      <c r="N88" s="188" t="s">
        <v>151</v>
      </c>
      <c r="O88">
        <v>86</v>
      </c>
      <c r="P88">
        <f>_xlfn.XLOOKUP(A88,'[1]Classic Net to delete'!D:D,'[1]Classic Net to delete'!AA:AA,0)</f>
        <v>75</v>
      </c>
    </row>
    <row r="89" spans="1:16" x14ac:dyDescent="0.25">
      <c r="A89" t="s">
        <v>177</v>
      </c>
      <c r="B89" t="s">
        <v>178</v>
      </c>
      <c r="C89">
        <v>8.61</v>
      </c>
      <c r="D89" t="s">
        <v>19</v>
      </c>
      <c r="E89" t="str">
        <f>CONCATENATE(J89,". ",N89)</f>
        <v>12. Podiums &amp; Platforms</v>
      </c>
      <c r="F89">
        <v>75</v>
      </c>
      <c r="G89" t="b">
        <v>1</v>
      </c>
      <c r="H89">
        <v>79</v>
      </c>
      <c r="I89" s="193" t="s">
        <v>20</v>
      </c>
      <c r="J89" s="192">
        <v>12</v>
      </c>
      <c r="K89" s="188">
        <f>IFERROR(_xlfn.XLOOKUP(A89,[1]Fleet!A:A,[1]Fleet!E:E,""),"")</f>
        <v>5</v>
      </c>
      <c r="L89" s="188">
        <v>8.0500000000000007</v>
      </c>
      <c r="M89" s="188" t="s">
        <v>179</v>
      </c>
      <c r="N89" s="188" t="s">
        <v>151</v>
      </c>
      <c r="O89">
        <v>77</v>
      </c>
      <c r="P89">
        <f>_xlfn.XLOOKUP(A89,'[1]Classic Net to delete'!D:D,'[1]Classic Net to delete'!AA:AA,0)</f>
        <v>79</v>
      </c>
    </row>
    <row r="90" spans="1:16" x14ac:dyDescent="0.25">
      <c r="A90" t="s">
        <v>180</v>
      </c>
      <c r="B90" t="s">
        <v>181</v>
      </c>
      <c r="C90">
        <v>14.23</v>
      </c>
      <c r="D90" t="s">
        <v>19</v>
      </c>
      <c r="E90" t="str">
        <f>CONCATENATE(J90,". ",N90)</f>
        <v>12. Podiums &amp; Platforms</v>
      </c>
      <c r="F90">
        <v>75</v>
      </c>
      <c r="G90" t="b">
        <v>1</v>
      </c>
      <c r="H90">
        <v>80</v>
      </c>
      <c r="I90" s="193" t="s">
        <v>20</v>
      </c>
      <c r="J90" s="192">
        <v>12</v>
      </c>
      <c r="K90" s="188">
        <f>IFERROR(_xlfn.XLOOKUP(A90,[1]Fleet!A:A,[1]Fleet!E:E,""),"")</f>
        <v>33</v>
      </c>
      <c r="L90" s="188">
        <v>13.3</v>
      </c>
      <c r="M90" s="188" t="s">
        <v>182</v>
      </c>
      <c r="N90" s="188" t="s">
        <v>151</v>
      </c>
      <c r="O90">
        <v>87</v>
      </c>
      <c r="P90">
        <f>_xlfn.XLOOKUP(A90,'[1]Classic Net to delete'!D:D,'[1]Classic Net to delete'!AA:AA,0)</f>
        <v>80</v>
      </c>
    </row>
    <row r="91" spans="1:16" x14ac:dyDescent="0.25">
      <c r="A91" t="s">
        <v>183</v>
      </c>
      <c r="B91" t="s">
        <v>184</v>
      </c>
      <c r="C91">
        <v>14.23</v>
      </c>
      <c r="D91" t="s">
        <v>19</v>
      </c>
      <c r="E91" t="str">
        <f>CONCATENATE(J91,". ",N91)</f>
        <v>12. Podiums &amp; Platforms</v>
      </c>
      <c r="F91">
        <v>75</v>
      </c>
      <c r="G91" t="b">
        <v>1</v>
      </c>
      <c r="H91">
        <v>81</v>
      </c>
      <c r="I91" s="193" t="s">
        <v>20</v>
      </c>
      <c r="J91" s="192">
        <v>12</v>
      </c>
      <c r="K91" s="188">
        <f>IFERROR(_xlfn.XLOOKUP(A91,[1]Fleet!A:A,[1]Fleet!E:E,""),"")</f>
        <v>2</v>
      </c>
      <c r="L91" s="188">
        <v>13.3</v>
      </c>
      <c r="M91" s="188" t="s">
        <v>185</v>
      </c>
      <c r="N91" s="188" t="s">
        <v>151</v>
      </c>
      <c r="O91">
        <v>88</v>
      </c>
      <c r="P91">
        <f>_xlfn.XLOOKUP(A91,'[1]Classic Net to delete'!D:D,'[1]Classic Net to delete'!AA:AA,0)</f>
        <v>81</v>
      </c>
    </row>
    <row r="92" spans="1:16" x14ac:dyDescent="0.25">
      <c r="A92" t="s">
        <v>227</v>
      </c>
      <c r="B92" t="s">
        <v>228</v>
      </c>
      <c r="C92">
        <v>58.69</v>
      </c>
      <c r="D92" t="s">
        <v>19</v>
      </c>
      <c r="E92" t="str">
        <f>CONCATENATE(J92,". ",N92)</f>
        <v>12. Podiums &amp; Platforms</v>
      </c>
      <c r="F92">
        <v>75</v>
      </c>
      <c r="G92" t="b">
        <v>1</v>
      </c>
      <c r="H92">
        <v>85</v>
      </c>
      <c r="I92" s="193" t="s">
        <v>20</v>
      </c>
      <c r="J92" s="192">
        <v>12</v>
      </c>
      <c r="K92" s="188">
        <f>IFERROR(_xlfn.XLOOKUP(A92,[1]Fleet!A:A,[1]Fleet!E:E,""),"")</f>
        <v>293</v>
      </c>
      <c r="L92" s="188">
        <v>54.85</v>
      </c>
      <c r="M92" s="188" t="s">
        <v>229</v>
      </c>
      <c r="N92" s="188" t="s">
        <v>151</v>
      </c>
      <c r="O92">
        <v>81</v>
      </c>
      <c r="P92">
        <f>_xlfn.XLOOKUP(A92,'[1]Classic Net to delete'!D:D,'[1]Classic Net to delete'!AA:AA,0)</f>
        <v>85</v>
      </c>
    </row>
    <row r="93" spans="1:16" x14ac:dyDescent="0.25">
      <c r="A93" t="s">
        <v>74</v>
      </c>
      <c r="B93" t="s">
        <v>75</v>
      </c>
      <c r="C93">
        <v>34.19</v>
      </c>
      <c r="D93" t="s">
        <v>19</v>
      </c>
      <c r="E93" t="str">
        <f>CONCATENATE(J93,". ",N93)</f>
        <v>13. Steps</v>
      </c>
      <c r="F93">
        <v>75</v>
      </c>
      <c r="G93" t="b">
        <v>1</v>
      </c>
      <c r="H93">
        <v>0</v>
      </c>
      <c r="I93" s="193" t="s">
        <v>20</v>
      </c>
      <c r="J93" s="192">
        <v>13</v>
      </c>
      <c r="K93" s="188">
        <f>IFERROR(_xlfn.XLOOKUP(A93,[1]Fleet!A:A,[1]Fleet!E:E,""),"")</f>
        <v>4</v>
      </c>
      <c r="L93" s="188" t="s">
        <v>76</v>
      </c>
      <c r="M93" s="188" t="s">
        <v>76</v>
      </c>
      <c r="N93" s="188" t="s">
        <v>3955</v>
      </c>
      <c r="O93">
        <v>133</v>
      </c>
      <c r="P93">
        <f>_xlfn.XLOOKUP(A93,'[1]Classic Net to delete'!D:D,'[1]Classic Net to delete'!AA:AA,0)</f>
        <v>0</v>
      </c>
    </row>
    <row r="94" spans="1:16" x14ac:dyDescent="0.25">
      <c r="A94" t="s">
        <v>77</v>
      </c>
      <c r="B94" t="s">
        <v>78</v>
      </c>
      <c r="C94">
        <v>37.56</v>
      </c>
      <c r="D94" t="s">
        <v>19</v>
      </c>
      <c r="E94" t="str">
        <f>CONCATENATE(J94,". ",N94)</f>
        <v>13. Steps</v>
      </c>
      <c r="F94">
        <v>75</v>
      </c>
      <c r="G94" t="b">
        <v>1</v>
      </c>
      <c r="H94">
        <v>0</v>
      </c>
      <c r="I94" s="193" t="s">
        <v>20</v>
      </c>
      <c r="J94" s="192">
        <v>13</v>
      </c>
      <c r="K94" s="188">
        <f>IFERROR(_xlfn.XLOOKUP(A94,[1]Fleet!A:A,[1]Fleet!E:E,""),"")</f>
        <v>4</v>
      </c>
      <c r="L94" s="188" t="s">
        <v>76</v>
      </c>
      <c r="M94" s="188" t="s">
        <v>76</v>
      </c>
      <c r="N94" s="188" t="s">
        <v>3955</v>
      </c>
      <c r="O94">
        <v>134</v>
      </c>
      <c r="P94">
        <f>_xlfn.XLOOKUP(A94,'[1]Classic Net to delete'!D:D,'[1]Classic Net to delete'!AA:AA,0)</f>
        <v>0</v>
      </c>
    </row>
    <row r="95" spans="1:16" x14ac:dyDescent="0.25">
      <c r="A95" t="s">
        <v>17</v>
      </c>
      <c r="B95" t="s">
        <v>18</v>
      </c>
      <c r="C95">
        <v>23.97</v>
      </c>
      <c r="D95" t="s">
        <v>19</v>
      </c>
      <c r="E95" t="str">
        <f>CONCATENATE(J95,". ",N95)</f>
        <v>13. Steps</v>
      </c>
      <c r="F95">
        <v>75</v>
      </c>
      <c r="G95" t="b">
        <v>1</v>
      </c>
      <c r="H95">
        <v>105</v>
      </c>
      <c r="I95" s="193" t="s">
        <v>20</v>
      </c>
      <c r="J95" s="192">
        <v>13</v>
      </c>
      <c r="K95" s="188">
        <f>IFERROR(_xlfn.XLOOKUP(A95,[1]Fleet!A:A,[1]Fleet!E:E,""),"")</f>
        <v>33</v>
      </c>
      <c r="L95" s="188">
        <v>22.400000000000002</v>
      </c>
      <c r="M95" s="188" t="s">
        <v>21</v>
      </c>
      <c r="N95" s="188" t="s">
        <v>3955</v>
      </c>
      <c r="O95">
        <v>95</v>
      </c>
      <c r="P95">
        <f>_xlfn.XLOOKUP(A95,'[1]Classic Net to delete'!D:D,'[1]Classic Net to delete'!AA:AA,0)</f>
        <v>105</v>
      </c>
    </row>
    <row r="96" spans="1:16" x14ac:dyDescent="0.25">
      <c r="A96" t="s">
        <v>23</v>
      </c>
      <c r="B96" t="s">
        <v>24</v>
      </c>
      <c r="C96">
        <v>25.310000000000002</v>
      </c>
      <c r="D96" t="s">
        <v>19</v>
      </c>
      <c r="E96" t="str">
        <f>CONCATENATE(J96,". ",N96)</f>
        <v>13. Steps</v>
      </c>
      <c r="F96">
        <v>75</v>
      </c>
      <c r="G96" t="b">
        <v>1</v>
      </c>
      <c r="H96">
        <v>106</v>
      </c>
      <c r="I96" s="193" t="s">
        <v>20</v>
      </c>
      <c r="J96" s="192">
        <v>13</v>
      </c>
      <c r="K96" s="188">
        <f>IFERROR(_xlfn.XLOOKUP(A96,[1]Fleet!A:A,[1]Fleet!E:E,""),"")</f>
        <v>53</v>
      </c>
      <c r="L96" s="188">
        <v>23.650000000000002</v>
      </c>
      <c r="M96" s="188" t="s">
        <v>25</v>
      </c>
      <c r="N96" s="188" t="s">
        <v>3955</v>
      </c>
      <c r="O96">
        <v>96</v>
      </c>
      <c r="P96">
        <f>_xlfn.XLOOKUP(A96,'[1]Classic Net to delete'!D:D,'[1]Classic Net to delete'!AA:AA,0)</f>
        <v>106</v>
      </c>
    </row>
    <row r="97" spans="1:16" x14ac:dyDescent="0.25">
      <c r="A97" t="s">
        <v>26</v>
      </c>
      <c r="B97" t="s">
        <v>27</v>
      </c>
      <c r="C97">
        <v>27.02</v>
      </c>
      <c r="D97" t="s">
        <v>19</v>
      </c>
      <c r="E97" t="str">
        <f>CONCATENATE(J97,". ",N97)</f>
        <v>13. Steps</v>
      </c>
      <c r="F97">
        <v>75</v>
      </c>
      <c r="G97" t="b">
        <v>1</v>
      </c>
      <c r="H97">
        <v>107</v>
      </c>
      <c r="I97" s="193" t="s">
        <v>20</v>
      </c>
      <c r="J97" s="192">
        <v>13</v>
      </c>
      <c r="K97" s="188">
        <f>IFERROR(_xlfn.XLOOKUP(A97,[1]Fleet!A:A,[1]Fleet!E:E,""),"")</f>
        <v>29</v>
      </c>
      <c r="L97" s="188">
        <v>25.25</v>
      </c>
      <c r="M97" s="188" t="s">
        <v>28</v>
      </c>
      <c r="N97" s="188" t="s">
        <v>3955</v>
      </c>
      <c r="O97">
        <v>97</v>
      </c>
      <c r="P97">
        <f>_xlfn.XLOOKUP(A97,'[1]Classic Net to delete'!D:D,'[1]Classic Net to delete'!AA:AA,0)</f>
        <v>107</v>
      </c>
    </row>
    <row r="98" spans="1:16" x14ac:dyDescent="0.25">
      <c r="A98" t="s">
        <v>29</v>
      </c>
      <c r="B98" t="s">
        <v>30</v>
      </c>
      <c r="C98">
        <v>28.68</v>
      </c>
      <c r="D98" t="s">
        <v>19</v>
      </c>
      <c r="E98" t="str">
        <f>CONCATENATE(J98,". ",N98)</f>
        <v>13. Steps</v>
      </c>
      <c r="F98">
        <v>75</v>
      </c>
      <c r="G98" t="b">
        <v>1</v>
      </c>
      <c r="H98">
        <v>108</v>
      </c>
      <c r="I98" s="193" t="s">
        <v>20</v>
      </c>
      <c r="J98" s="192">
        <v>13</v>
      </c>
      <c r="K98" s="188">
        <f>IFERROR(_xlfn.XLOOKUP(A98,[1]Fleet!A:A,[1]Fleet!E:E,""),"")</f>
        <v>11</v>
      </c>
      <c r="L98" s="188">
        <v>26.8</v>
      </c>
      <c r="M98" s="188" t="s">
        <v>31</v>
      </c>
      <c r="N98" s="188" t="s">
        <v>3955</v>
      </c>
      <c r="O98">
        <v>98</v>
      </c>
      <c r="P98">
        <f>_xlfn.XLOOKUP(A98,'[1]Classic Net to delete'!D:D,'[1]Classic Net to delete'!AA:AA,0)</f>
        <v>108</v>
      </c>
    </row>
    <row r="99" spans="1:16" x14ac:dyDescent="0.25">
      <c r="A99" t="s">
        <v>62</v>
      </c>
      <c r="B99" t="s">
        <v>63</v>
      </c>
      <c r="C99">
        <v>27.12</v>
      </c>
      <c r="D99" t="s">
        <v>19</v>
      </c>
      <c r="E99" t="str">
        <f>CONCATENATE(J99,". ",N99)</f>
        <v>13. Steps</v>
      </c>
      <c r="F99">
        <v>75</v>
      </c>
      <c r="G99" t="b">
        <v>1</v>
      </c>
      <c r="H99">
        <v>111</v>
      </c>
      <c r="I99" s="193" t="s">
        <v>20</v>
      </c>
      <c r="J99" s="192">
        <v>13</v>
      </c>
      <c r="K99" s="188">
        <f>IFERROR(_xlfn.XLOOKUP(A99,[1]Fleet!A:A,[1]Fleet!E:E,""),"")</f>
        <v>2</v>
      </c>
      <c r="L99" s="188">
        <v>25.35</v>
      </c>
      <c r="M99" s="188" t="s">
        <v>64</v>
      </c>
      <c r="N99" s="188" t="s">
        <v>3955</v>
      </c>
      <c r="O99">
        <v>108</v>
      </c>
      <c r="P99">
        <f>_xlfn.XLOOKUP(A99,'[1]Classic Net to delete'!D:D,'[1]Classic Net to delete'!AA:AA,0)</f>
        <v>111</v>
      </c>
    </row>
    <row r="100" spans="1:16" x14ac:dyDescent="0.25">
      <c r="A100" t="s">
        <v>65</v>
      </c>
      <c r="B100" t="s">
        <v>66</v>
      </c>
      <c r="C100">
        <v>30.98</v>
      </c>
      <c r="D100" t="s">
        <v>19</v>
      </c>
      <c r="E100" t="str">
        <f>CONCATENATE(J100,". ",N100)</f>
        <v>13. Steps</v>
      </c>
      <c r="F100">
        <v>75</v>
      </c>
      <c r="G100" t="b">
        <v>1</v>
      </c>
      <c r="H100">
        <v>112</v>
      </c>
      <c r="I100" s="193" t="s">
        <v>20</v>
      </c>
      <c r="J100" s="192">
        <v>13</v>
      </c>
      <c r="K100" s="188">
        <f>IFERROR(_xlfn.XLOOKUP(A100,[1]Fleet!A:A,[1]Fleet!E:E,""),"")</f>
        <v>127</v>
      </c>
      <c r="L100" s="188">
        <v>28.950000000000003</v>
      </c>
      <c r="M100" s="188" t="s">
        <v>67</v>
      </c>
      <c r="N100" s="188" t="s">
        <v>3955</v>
      </c>
      <c r="O100">
        <v>109</v>
      </c>
      <c r="P100">
        <f>_xlfn.XLOOKUP(A100,'[1]Classic Net to delete'!D:D,'[1]Classic Net to delete'!AA:AA,0)</f>
        <v>112</v>
      </c>
    </row>
    <row r="101" spans="1:16" x14ac:dyDescent="0.25">
      <c r="A101" t="s">
        <v>68</v>
      </c>
      <c r="B101" t="s">
        <v>69</v>
      </c>
      <c r="C101">
        <v>32.53</v>
      </c>
      <c r="D101" t="s">
        <v>19</v>
      </c>
      <c r="E101" t="str">
        <f>CONCATENATE(J101,". ",N101)</f>
        <v>13. Steps</v>
      </c>
      <c r="F101">
        <v>75</v>
      </c>
      <c r="G101" t="b">
        <v>1</v>
      </c>
      <c r="H101">
        <v>113</v>
      </c>
      <c r="I101" s="193" t="s">
        <v>20</v>
      </c>
      <c r="J101" s="192">
        <v>13</v>
      </c>
      <c r="K101" s="188">
        <f>IFERROR(_xlfn.XLOOKUP(A101,[1]Fleet!A:A,[1]Fleet!E:E,""),"")</f>
        <v>192</v>
      </c>
      <c r="L101" s="188">
        <v>30.400000000000002</v>
      </c>
      <c r="M101" s="188" t="s">
        <v>70</v>
      </c>
      <c r="N101" s="188" t="s">
        <v>3955</v>
      </c>
      <c r="O101">
        <v>110</v>
      </c>
      <c r="P101">
        <f>_xlfn.XLOOKUP(A101,'[1]Classic Net to delete'!D:D,'[1]Classic Net to delete'!AA:AA,0)</f>
        <v>113</v>
      </c>
    </row>
    <row r="102" spans="1:16" x14ac:dyDescent="0.25">
      <c r="A102" t="s">
        <v>71</v>
      </c>
      <c r="B102" t="s">
        <v>72</v>
      </c>
      <c r="C102">
        <v>33.76</v>
      </c>
      <c r="D102" t="s">
        <v>19</v>
      </c>
      <c r="E102" t="str">
        <f>CONCATENATE(J102,". ",N102)</f>
        <v>13. Steps</v>
      </c>
      <c r="F102">
        <v>75</v>
      </c>
      <c r="G102" t="b">
        <v>1</v>
      </c>
      <c r="H102">
        <v>114</v>
      </c>
      <c r="I102" s="193" t="s">
        <v>20</v>
      </c>
      <c r="J102" s="192">
        <v>13</v>
      </c>
      <c r="K102" s="188">
        <f>IFERROR(_xlfn.XLOOKUP(A102,[1]Fleet!A:A,[1]Fleet!E:E,""),"")</f>
        <v>58</v>
      </c>
      <c r="L102" s="188">
        <v>31.55</v>
      </c>
      <c r="M102" s="188" t="s">
        <v>73</v>
      </c>
      <c r="N102" s="188" t="s">
        <v>3955</v>
      </c>
      <c r="O102">
        <v>111</v>
      </c>
      <c r="P102">
        <f>_xlfn.XLOOKUP(A102,'[1]Classic Net to delete'!D:D,'[1]Classic Net to delete'!AA:AA,0)</f>
        <v>114</v>
      </c>
    </row>
    <row r="103" spans="1:16" x14ac:dyDescent="0.25">
      <c r="A103" t="s">
        <v>240</v>
      </c>
      <c r="B103" t="s">
        <v>241</v>
      </c>
      <c r="C103">
        <v>37.880000000000003</v>
      </c>
      <c r="D103" t="s">
        <v>19</v>
      </c>
      <c r="E103" t="str">
        <f>CONCATENATE(J103,". ",N103)</f>
        <v>13. Steps</v>
      </c>
      <c r="F103">
        <v>75</v>
      </c>
      <c r="G103" t="b">
        <v>1</v>
      </c>
      <c r="H103">
        <v>118</v>
      </c>
      <c r="I103" s="193" t="s">
        <v>20</v>
      </c>
      <c r="J103" s="192">
        <v>13</v>
      </c>
      <c r="K103" s="188">
        <f>IFERROR(_xlfn.XLOOKUP(A103,[1]Fleet!A:A,[1]Fleet!E:E,""),"")</f>
        <v>9</v>
      </c>
      <c r="L103" s="188">
        <v>35.4</v>
      </c>
      <c r="M103" s="188" t="s">
        <v>242</v>
      </c>
      <c r="N103" s="188" t="s">
        <v>3955</v>
      </c>
      <c r="O103">
        <v>130</v>
      </c>
      <c r="P103">
        <f>_xlfn.XLOOKUP(A103,'[1]Classic Net to delete'!D:D,'[1]Classic Net to delete'!AA:AA,0)</f>
        <v>118</v>
      </c>
    </row>
    <row r="104" spans="1:16" x14ac:dyDescent="0.25">
      <c r="A104" t="s">
        <v>243</v>
      </c>
      <c r="B104" t="s">
        <v>244</v>
      </c>
      <c r="C104">
        <v>40.130000000000003</v>
      </c>
      <c r="D104" t="s">
        <v>19</v>
      </c>
      <c r="E104" t="str">
        <f>CONCATENATE(J104,". ",N104)</f>
        <v>13. Steps</v>
      </c>
      <c r="F104">
        <v>75</v>
      </c>
      <c r="G104" t="b">
        <v>1</v>
      </c>
      <c r="H104">
        <v>119</v>
      </c>
      <c r="I104" s="193" t="s">
        <v>20</v>
      </c>
      <c r="J104" s="192">
        <v>13</v>
      </c>
      <c r="K104" s="188">
        <f>IFERROR(_xlfn.XLOOKUP(A104,[1]Fleet!A:A,[1]Fleet!E:E,""),"")</f>
        <v>15</v>
      </c>
      <c r="L104" s="188">
        <v>37.5</v>
      </c>
      <c r="M104" s="188" t="s">
        <v>245</v>
      </c>
      <c r="N104" s="188" t="s">
        <v>3955</v>
      </c>
      <c r="O104">
        <v>131</v>
      </c>
      <c r="P104">
        <f>_xlfn.XLOOKUP(A104,'[1]Classic Net to delete'!D:D,'[1]Classic Net to delete'!AA:AA,0)</f>
        <v>119</v>
      </c>
    </row>
    <row r="105" spans="1:16" x14ac:dyDescent="0.25">
      <c r="A105" t="s">
        <v>246</v>
      </c>
      <c r="B105" t="s">
        <v>247</v>
      </c>
      <c r="C105">
        <v>41.68</v>
      </c>
      <c r="D105" t="s">
        <v>19</v>
      </c>
      <c r="E105" t="str">
        <f>CONCATENATE(J105,". ",N105)</f>
        <v>13. Steps</v>
      </c>
      <c r="F105">
        <v>75</v>
      </c>
      <c r="G105" t="b">
        <v>1</v>
      </c>
      <c r="H105">
        <v>120</v>
      </c>
      <c r="I105" s="193" t="s">
        <v>20</v>
      </c>
      <c r="J105" s="192">
        <v>13</v>
      </c>
      <c r="K105" s="188">
        <f>IFERROR(_xlfn.XLOOKUP(A105,[1]Fleet!A:A,[1]Fleet!E:E,""),"")</f>
        <v>8</v>
      </c>
      <c r="L105" s="188">
        <v>38.950000000000003</v>
      </c>
      <c r="M105" s="188" t="s">
        <v>248</v>
      </c>
      <c r="N105" s="188" t="s">
        <v>3955</v>
      </c>
      <c r="O105">
        <v>129</v>
      </c>
      <c r="P105">
        <f>_xlfn.XLOOKUP(A105,'[1]Classic Net to delete'!D:D,'[1]Classic Net to delete'!AA:AA,0)</f>
        <v>120</v>
      </c>
    </row>
    <row r="106" spans="1:16" x14ac:dyDescent="0.25">
      <c r="A106" t="s">
        <v>249</v>
      </c>
      <c r="B106" t="s">
        <v>250</v>
      </c>
      <c r="C106">
        <v>47.35</v>
      </c>
      <c r="D106" t="s">
        <v>19</v>
      </c>
      <c r="E106" t="str">
        <f>CONCATENATE(J106,". ",N106)</f>
        <v>13. Steps</v>
      </c>
      <c r="F106">
        <v>75</v>
      </c>
      <c r="G106" t="b">
        <v>1</v>
      </c>
      <c r="H106">
        <v>121</v>
      </c>
      <c r="I106" s="193" t="s">
        <v>20</v>
      </c>
      <c r="J106" s="192">
        <v>13</v>
      </c>
      <c r="K106" s="188">
        <f>IFERROR(_xlfn.XLOOKUP(A106,[1]Fleet!A:A,[1]Fleet!E:E,""),"")</f>
        <v>9</v>
      </c>
      <c r="L106" s="188">
        <v>44.25</v>
      </c>
      <c r="M106" s="188" t="s">
        <v>251</v>
      </c>
      <c r="N106" s="188" t="s">
        <v>3955</v>
      </c>
      <c r="O106">
        <v>132</v>
      </c>
      <c r="P106">
        <f>_xlfn.XLOOKUP(A106,'[1]Classic Net to delete'!D:D,'[1]Classic Net to delete'!AA:AA,0)</f>
        <v>121</v>
      </c>
    </row>
    <row r="107" spans="1:16" x14ac:dyDescent="0.25">
      <c r="A107" t="s">
        <v>252</v>
      </c>
      <c r="B107" t="s">
        <v>253</v>
      </c>
      <c r="C107">
        <v>53.61</v>
      </c>
      <c r="D107" t="s">
        <v>19</v>
      </c>
      <c r="E107" t="str">
        <f>CONCATENATE(J107,". ",N107)</f>
        <v>13. Steps</v>
      </c>
      <c r="F107">
        <v>75</v>
      </c>
      <c r="G107" t="b">
        <v>1</v>
      </c>
      <c r="H107">
        <v>122</v>
      </c>
      <c r="I107" s="193" t="s">
        <v>20</v>
      </c>
      <c r="J107" s="192">
        <v>13</v>
      </c>
      <c r="K107" s="188">
        <f>IFERROR(_xlfn.XLOOKUP(A107,[1]Fleet!A:A,[1]Fleet!E:E,""),"")</f>
        <v>9</v>
      </c>
      <c r="L107" s="188">
        <v>50.1</v>
      </c>
      <c r="M107" s="188" t="s">
        <v>254</v>
      </c>
      <c r="N107" s="188" t="s">
        <v>3955</v>
      </c>
      <c r="O107">
        <v>128</v>
      </c>
      <c r="P107">
        <f>_xlfn.XLOOKUP(A107,'[1]Classic Net to delete'!D:D,'[1]Classic Net to delete'!AA:AA,0)</f>
        <v>122</v>
      </c>
    </row>
    <row r="108" spans="1:16" x14ac:dyDescent="0.25">
      <c r="A108" t="s">
        <v>237</v>
      </c>
      <c r="B108" t="s">
        <v>238</v>
      </c>
      <c r="C108">
        <v>59.33</v>
      </c>
      <c r="D108" t="s">
        <v>19</v>
      </c>
      <c r="E108" t="str">
        <f>CONCATENATE(J108,". ",N108)</f>
        <v>13. Steps</v>
      </c>
      <c r="F108">
        <v>75</v>
      </c>
      <c r="G108" t="b">
        <v>1</v>
      </c>
      <c r="H108">
        <v>125</v>
      </c>
      <c r="I108" s="193" t="s">
        <v>20</v>
      </c>
      <c r="J108" s="192">
        <v>13</v>
      </c>
      <c r="K108" s="188">
        <f>IFERROR(_xlfn.XLOOKUP(A108,[1]Fleet!A:A,[1]Fleet!E:E,""),"")</f>
        <v>3</v>
      </c>
      <c r="L108" s="188">
        <v>55.45</v>
      </c>
      <c r="M108" s="188" t="s">
        <v>239</v>
      </c>
      <c r="N108" s="188" t="s">
        <v>3955</v>
      </c>
      <c r="O108">
        <v>125</v>
      </c>
      <c r="P108">
        <f>_xlfn.XLOOKUP(A108,'[1]Classic Net to delete'!D:D,'[1]Classic Net to delete'!AA:AA,0)</f>
        <v>125</v>
      </c>
    </row>
    <row r="109" spans="1:16" x14ac:dyDescent="0.25">
      <c r="A109" t="s">
        <v>145</v>
      </c>
      <c r="B109" t="s">
        <v>146</v>
      </c>
      <c r="C109">
        <v>69.600000000000009</v>
      </c>
      <c r="D109" t="s">
        <v>19</v>
      </c>
      <c r="E109" t="str">
        <f>CONCATENATE(J109,". ",N109)</f>
        <v>13. Steps</v>
      </c>
      <c r="F109">
        <v>75</v>
      </c>
      <c r="G109" t="b">
        <v>1</v>
      </c>
      <c r="H109">
        <v>129</v>
      </c>
      <c r="I109" s="193" t="s">
        <v>20</v>
      </c>
      <c r="J109" s="192">
        <v>13</v>
      </c>
      <c r="K109" s="188">
        <f>IFERROR(_xlfn.XLOOKUP(A109,[1]Fleet!A:A,[1]Fleet!E:E,""),"")</f>
        <v>1</v>
      </c>
      <c r="L109" s="188">
        <v>65.05</v>
      </c>
      <c r="M109" s="188" t="s">
        <v>147</v>
      </c>
      <c r="N109" s="188" t="s">
        <v>3955</v>
      </c>
      <c r="O109">
        <v>124</v>
      </c>
      <c r="P109">
        <f>_xlfn.XLOOKUP(A109,'[1]Classic Net to delete'!D:D,'[1]Classic Net to delete'!AA:AA,0)</f>
        <v>129</v>
      </c>
    </row>
    <row r="110" spans="1:16" x14ac:dyDescent="0.25">
      <c r="A110" t="s">
        <v>97</v>
      </c>
      <c r="B110" t="s">
        <v>98</v>
      </c>
      <c r="C110">
        <v>55.27</v>
      </c>
      <c r="D110" t="s">
        <v>19</v>
      </c>
      <c r="E110" t="str">
        <f>CONCATENATE(J110,". ",N110)</f>
        <v>14. Ladders</v>
      </c>
      <c r="F110">
        <v>75</v>
      </c>
      <c r="G110" t="b">
        <v>1</v>
      </c>
      <c r="H110">
        <v>0</v>
      </c>
      <c r="I110" s="193" t="s">
        <v>20</v>
      </c>
      <c r="J110" s="192">
        <v>14</v>
      </c>
      <c r="K110" s="188">
        <f>IFERROR(_xlfn.XLOOKUP(A110,[1]Fleet!A:A,[1]Fleet!E:E,""),"")</f>
        <v>2</v>
      </c>
      <c r="L110" s="188" t="s">
        <v>76</v>
      </c>
      <c r="M110" s="188" t="s">
        <v>76</v>
      </c>
      <c r="N110" s="188" t="s">
        <v>3956</v>
      </c>
      <c r="O110">
        <v>118</v>
      </c>
      <c r="P110">
        <f>_xlfn.XLOOKUP(A110,'[1]Classic Net to delete'!D:D,'[1]Classic Net to delete'!AA:AA,0)</f>
        <v>0</v>
      </c>
    </row>
    <row r="111" spans="1:16" x14ac:dyDescent="0.25">
      <c r="A111" t="s">
        <v>139</v>
      </c>
      <c r="B111" t="s">
        <v>140</v>
      </c>
      <c r="C111">
        <v>56.76</v>
      </c>
      <c r="D111" t="s">
        <v>19</v>
      </c>
      <c r="E111" t="str">
        <f>CONCATENATE(J111,". ",N111)</f>
        <v>14. Ladders</v>
      </c>
      <c r="F111">
        <v>75</v>
      </c>
      <c r="G111" t="b">
        <v>1</v>
      </c>
      <c r="H111">
        <v>133</v>
      </c>
      <c r="I111" s="193" t="s">
        <v>20</v>
      </c>
      <c r="J111" s="192">
        <v>14</v>
      </c>
      <c r="K111" s="188">
        <f>IFERROR(_xlfn.XLOOKUP(A111,[1]Fleet!A:A,[1]Fleet!E:E,""),"")</f>
        <v>4</v>
      </c>
      <c r="L111" s="188">
        <v>53.050000000000004</v>
      </c>
      <c r="M111" s="188" t="s">
        <v>141</v>
      </c>
      <c r="N111" s="188" t="s">
        <v>3956</v>
      </c>
      <c r="O111">
        <v>126</v>
      </c>
      <c r="P111">
        <f>_xlfn.XLOOKUP(A111,'[1]Classic Net to delete'!D:D,'[1]Classic Net to delete'!AA:AA,0)</f>
        <v>133</v>
      </c>
    </row>
    <row r="112" spans="1:16" x14ac:dyDescent="0.25">
      <c r="A112" t="s">
        <v>142</v>
      </c>
      <c r="B112" t="s">
        <v>143</v>
      </c>
      <c r="C112">
        <v>74.150000000000006</v>
      </c>
      <c r="D112" t="s">
        <v>19</v>
      </c>
      <c r="E112" t="str">
        <f>CONCATENATE(J112,". ",N112)</f>
        <v>14. Ladders</v>
      </c>
      <c r="F112">
        <v>75</v>
      </c>
      <c r="G112" t="b">
        <v>1</v>
      </c>
      <c r="H112">
        <v>134</v>
      </c>
      <c r="I112" s="193" t="s">
        <v>20</v>
      </c>
      <c r="J112" s="192">
        <v>14</v>
      </c>
      <c r="K112" s="188">
        <f>IFERROR(_xlfn.XLOOKUP(A112,[1]Fleet!A:A,[1]Fleet!E:E,""),"")</f>
        <v>2</v>
      </c>
      <c r="L112" s="188">
        <v>69.3</v>
      </c>
      <c r="M112" s="188" t="s">
        <v>144</v>
      </c>
      <c r="N112" s="188" t="s">
        <v>3956</v>
      </c>
      <c r="O112">
        <v>127</v>
      </c>
      <c r="P112">
        <f>_xlfn.XLOOKUP(A112,'[1]Classic Net to delete'!D:D,'[1]Classic Net to delete'!AA:AA,0)</f>
        <v>134</v>
      </c>
    </row>
    <row r="113" spans="1:16" x14ac:dyDescent="0.25">
      <c r="A113" t="s">
        <v>44</v>
      </c>
      <c r="B113" t="s">
        <v>45</v>
      </c>
      <c r="C113">
        <v>31.35</v>
      </c>
      <c r="D113" t="s">
        <v>19</v>
      </c>
      <c r="E113" t="str">
        <f>CONCATENATE(J113,". ",N113)</f>
        <v>14. Ladders</v>
      </c>
      <c r="F113">
        <v>75</v>
      </c>
      <c r="G113" t="b">
        <v>1</v>
      </c>
      <c r="H113">
        <v>138</v>
      </c>
      <c r="I113" s="193" t="s">
        <v>20</v>
      </c>
      <c r="J113" s="192">
        <v>14</v>
      </c>
      <c r="K113" s="188">
        <f>IFERROR(_xlfn.XLOOKUP(A113,[1]Fleet!A:A,[1]Fleet!E:E,""),"")</f>
        <v>10</v>
      </c>
      <c r="L113" s="188">
        <v>29.3</v>
      </c>
      <c r="M113" s="188" t="s">
        <v>46</v>
      </c>
      <c r="N113" s="188" t="s">
        <v>3956</v>
      </c>
      <c r="O113">
        <v>102</v>
      </c>
      <c r="P113">
        <f>_xlfn.XLOOKUP(A113,'[1]Classic Net to delete'!D:D,'[1]Classic Net to delete'!AA:AA,0)</f>
        <v>138</v>
      </c>
    </row>
    <row r="114" spans="1:16" x14ac:dyDescent="0.25">
      <c r="A114" t="s">
        <v>47</v>
      </c>
      <c r="B114" t="s">
        <v>48</v>
      </c>
      <c r="C114">
        <v>31.94</v>
      </c>
      <c r="D114" t="s">
        <v>19</v>
      </c>
      <c r="E114" t="str">
        <f>CONCATENATE(J114,". ",N114)</f>
        <v>14. Ladders</v>
      </c>
      <c r="F114">
        <v>75</v>
      </c>
      <c r="G114" t="b">
        <v>1</v>
      </c>
      <c r="H114">
        <v>139</v>
      </c>
      <c r="I114" s="193" t="s">
        <v>20</v>
      </c>
      <c r="J114" s="192">
        <v>14</v>
      </c>
      <c r="K114" s="188">
        <f>IFERROR(_xlfn.XLOOKUP(A114,[1]Fleet!A:A,[1]Fleet!E:E,""),"")</f>
        <v>8</v>
      </c>
      <c r="L114" s="188">
        <v>29.85</v>
      </c>
      <c r="M114" s="188" t="s">
        <v>49</v>
      </c>
      <c r="N114" s="188" t="s">
        <v>3956</v>
      </c>
      <c r="O114">
        <v>103</v>
      </c>
      <c r="P114">
        <f>_xlfn.XLOOKUP(A114,'[1]Classic Net to delete'!D:D,'[1]Classic Net to delete'!AA:AA,0)</f>
        <v>139</v>
      </c>
    </row>
    <row r="115" spans="1:16" x14ac:dyDescent="0.25">
      <c r="A115" t="s">
        <v>50</v>
      </c>
      <c r="B115" t="s">
        <v>51</v>
      </c>
      <c r="C115">
        <v>34.67</v>
      </c>
      <c r="D115" t="s">
        <v>19</v>
      </c>
      <c r="E115" t="str">
        <f>CONCATENATE(J115,". ",N115)</f>
        <v>14. Ladders</v>
      </c>
      <c r="F115">
        <v>75</v>
      </c>
      <c r="G115" t="b">
        <v>1</v>
      </c>
      <c r="H115">
        <v>140</v>
      </c>
      <c r="I115" s="193" t="s">
        <v>20</v>
      </c>
      <c r="J115" s="192">
        <v>14</v>
      </c>
      <c r="K115" s="188">
        <f>IFERROR(_xlfn.XLOOKUP(A115,[1]Fleet!A:A,[1]Fleet!E:E,""),"")</f>
        <v>3</v>
      </c>
      <c r="L115" s="188">
        <v>32.4</v>
      </c>
      <c r="M115" s="188" t="s">
        <v>52</v>
      </c>
      <c r="N115" s="188" t="s">
        <v>3956</v>
      </c>
      <c r="O115">
        <v>104</v>
      </c>
      <c r="P115">
        <f>_xlfn.XLOOKUP(A115,'[1]Classic Net to delete'!D:D,'[1]Classic Net to delete'!AA:AA,0)</f>
        <v>140</v>
      </c>
    </row>
    <row r="116" spans="1:16" x14ac:dyDescent="0.25">
      <c r="A116" t="s">
        <v>53</v>
      </c>
      <c r="B116" t="s">
        <v>54</v>
      </c>
      <c r="C116">
        <v>37.29</v>
      </c>
      <c r="D116" t="s">
        <v>19</v>
      </c>
      <c r="E116" t="str">
        <f>CONCATENATE(J116,". ",N116)</f>
        <v>14. Ladders</v>
      </c>
      <c r="F116">
        <v>75</v>
      </c>
      <c r="G116" t="b">
        <v>1</v>
      </c>
      <c r="H116">
        <v>141</v>
      </c>
      <c r="I116" s="193" t="s">
        <v>20</v>
      </c>
      <c r="J116" s="192">
        <v>14</v>
      </c>
      <c r="K116" s="188">
        <f>IFERROR(_xlfn.XLOOKUP(A116,[1]Fleet!A:A,[1]Fleet!E:E,""),"")</f>
        <v>5</v>
      </c>
      <c r="L116" s="188">
        <v>34.85</v>
      </c>
      <c r="M116" s="188" t="s">
        <v>55</v>
      </c>
      <c r="N116" s="188" t="s">
        <v>3956</v>
      </c>
      <c r="O116">
        <v>105</v>
      </c>
      <c r="P116">
        <f>_xlfn.XLOOKUP(A116,'[1]Classic Net to delete'!D:D,'[1]Classic Net to delete'!AA:AA,0)</f>
        <v>141</v>
      </c>
    </row>
    <row r="117" spans="1:16" x14ac:dyDescent="0.25">
      <c r="A117" t="s">
        <v>56</v>
      </c>
      <c r="B117" t="s">
        <v>57</v>
      </c>
      <c r="C117">
        <v>42</v>
      </c>
      <c r="D117" t="s">
        <v>19</v>
      </c>
      <c r="E117" t="str">
        <f>CONCATENATE(J117,". ",N117)</f>
        <v>14. Ladders</v>
      </c>
      <c r="F117">
        <v>75</v>
      </c>
      <c r="G117" t="b">
        <v>1</v>
      </c>
      <c r="H117">
        <v>142</v>
      </c>
      <c r="I117" s="193" t="s">
        <v>20</v>
      </c>
      <c r="J117" s="192">
        <v>14</v>
      </c>
      <c r="K117" s="188">
        <f>IFERROR(_xlfn.XLOOKUP(A117,[1]Fleet!A:A,[1]Fleet!E:E,""),"")</f>
        <v>8</v>
      </c>
      <c r="L117" s="188">
        <v>39.25</v>
      </c>
      <c r="M117" s="188" t="s">
        <v>58</v>
      </c>
      <c r="N117" s="188" t="s">
        <v>3956</v>
      </c>
      <c r="O117">
        <v>106</v>
      </c>
      <c r="P117">
        <f>_xlfn.XLOOKUP(A117,'[1]Classic Net to delete'!D:D,'[1]Classic Net to delete'!AA:AA,0)</f>
        <v>142</v>
      </c>
    </row>
    <row r="118" spans="1:16" x14ac:dyDescent="0.25">
      <c r="A118" t="s">
        <v>59</v>
      </c>
      <c r="B118" t="s">
        <v>60</v>
      </c>
      <c r="C118">
        <v>44.94</v>
      </c>
      <c r="D118" t="s">
        <v>19</v>
      </c>
      <c r="E118" t="str">
        <f>CONCATENATE(J118,". ",N118)</f>
        <v>14. Ladders</v>
      </c>
      <c r="F118">
        <v>75</v>
      </c>
      <c r="G118" t="b">
        <v>1</v>
      </c>
      <c r="H118">
        <v>143</v>
      </c>
      <c r="I118" s="193" t="s">
        <v>20</v>
      </c>
      <c r="J118" s="192">
        <v>14</v>
      </c>
      <c r="K118" s="188">
        <f>IFERROR(_xlfn.XLOOKUP(A118,[1]Fleet!A:A,[1]Fleet!E:E,""),"")</f>
        <v>8</v>
      </c>
      <c r="L118" s="188">
        <v>42</v>
      </c>
      <c r="M118" s="188" t="s">
        <v>61</v>
      </c>
      <c r="N118" s="188" t="s">
        <v>3956</v>
      </c>
      <c r="O118">
        <v>107</v>
      </c>
      <c r="P118">
        <f>_xlfn.XLOOKUP(A118,'[1]Classic Net to delete'!D:D,'[1]Classic Net to delete'!AA:AA,0)</f>
        <v>143</v>
      </c>
    </row>
    <row r="119" spans="1:16" x14ac:dyDescent="0.25">
      <c r="A119" t="s">
        <v>99</v>
      </c>
      <c r="B119" t="s">
        <v>100</v>
      </c>
      <c r="C119">
        <v>44.94</v>
      </c>
      <c r="D119" t="s">
        <v>19</v>
      </c>
      <c r="E119" t="str">
        <f>CONCATENATE(J119,". ",N119)</f>
        <v>14. Ladders</v>
      </c>
      <c r="F119">
        <v>75</v>
      </c>
      <c r="G119" t="b">
        <v>1</v>
      </c>
      <c r="H119">
        <v>147</v>
      </c>
      <c r="I119" s="193" t="s">
        <v>20</v>
      </c>
      <c r="J119" s="192">
        <v>14</v>
      </c>
      <c r="K119" s="188">
        <f>IFERROR(_xlfn.XLOOKUP(A119,[1]Fleet!A:A,[1]Fleet!E:E,""),"")</f>
        <v>9</v>
      </c>
      <c r="L119" s="188">
        <v>42</v>
      </c>
      <c r="M119" s="188" t="s">
        <v>34</v>
      </c>
      <c r="N119" s="188" t="s">
        <v>3956</v>
      </c>
      <c r="O119">
        <v>119</v>
      </c>
      <c r="P119">
        <f>_xlfn.XLOOKUP(A119,'[1]Classic Net to delete'!D:D,'[1]Classic Net to delete'!AA:AA,0)</f>
        <v>147</v>
      </c>
    </row>
    <row r="120" spans="1:16" x14ac:dyDescent="0.25">
      <c r="A120" t="s">
        <v>101</v>
      </c>
      <c r="B120" t="s">
        <v>102</v>
      </c>
      <c r="C120">
        <v>46.28</v>
      </c>
      <c r="D120" t="s">
        <v>19</v>
      </c>
      <c r="E120" t="str">
        <f>CONCATENATE(J120,". ",N120)</f>
        <v>14. Ladders</v>
      </c>
      <c r="F120">
        <v>75</v>
      </c>
      <c r="G120" t="b">
        <v>1</v>
      </c>
      <c r="H120">
        <v>148</v>
      </c>
      <c r="I120" s="193" t="s">
        <v>20</v>
      </c>
      <c r="J120" s="192">
        <v>14</v>
      </c>
      <c r="K120" s="188">
        <f>IFERROR(_xlfn.XLOOKUP(A120,[1]Fleet!A:A,[1]Fleet!E:E,""),"")</f>
        <v>11</v>
      </c>
      <c r="L120" s="188">
        <v>43.25</v>
      </c>
      <c r="M120" s="188" t="s">
        <v>103</v>
      </c>
      <c r="N120" s="188" t="s">
        <v>3956</v>
      </c>
      <c r="O120">
        <v>120</v>
      </c>
      <c r="P120">
        <f>_xlfn.XLOOKUP(A120,'[1]Classic Net to delete'!D:D,'[1]Classic Net to delete'!AA:AA,0)</f>
        <v>148</v>
      </c>
    </row>
    <row r="121" spans="1:16" x14ac:dyDescent="0.25">
      <c r="A121" t="s">
        <v>104</v>
      </c>
      <c r="B121" t="s">
        <v>105</v>
      </c>
      <c r="C121">
        <v>49.01</v>
      </c>
      <c r="D121" t="s">
        <v>19</v>
      </c>
      <c r="E121" t="str">
        <f>CONCATENATE(J121,". ",N121)</f>
        <v>14. Ladders</v>
      </c>
      <c r="F121">
        <v>75</v>
      </c>
      <c r="G121" t="b">
        <v>1</v>
      </c>
      <c r="H121">
        <v>149</v>
      </c>
      <c r="I121" s="193" t="s">
        <v>20</v>
      </c>
      <c r="J121" s="192">
        <v>14</v>
      </c>
      <c r="K121" s="188">
        <f>IFERROR(_xlfn.XLOOKUP(A121,[1]Fleet!A:A,[1]Fleet!E:E,""),"")</f>
        <v>2</v>
      </c>
      <c r="L121" s="188">
        <v>45.800000000000004</v>
      </c>
      <c r="M121" s="188" t="s">
        <v>106</v>
      </c>
      <c r="N121" s="188" t="s">
        <v>3956</v>
      </c>
      <c r="O121">
        <v>121</v>
      </c>
      <c r="P121">
        <f>_xlfn.XLOOKUP(A121,'[1]Classic Net to delete'!D:D,'[1]Classic Net to delete'!AA:AA,0)</f>
        <v>149</v>
      </c>
    </row>
    <row r="122" spans="1:16" x14ac:dyDescent="0.25">
      <c r="A122" t="s">
        <v>107</v>
      </c>
      <c r="B122" t="s">
        <v>108</v>
      </c>
      <c r="C122">
        <v>78.59</v>
      </c>
      <c r="D122" t="s">
        <v>19</v>
      </c>
      <c r="E122" t="str">
        <f>CONCATENATE(J122,". ",N122)</f>
        <v>14. Ladders</v>
      </c>
      <c r="F122">
        <v>75</v>
      </c>
      <c r="G122" t="b">
        <v>1</v>
      </c>
      <c r="H122">
        <v>150</v>
      </c>
      <c r="I122" s="193" t="s">
        <v>20</v>
      </c>
      <c r="J122" s="192">
        <v>14</v>
      </c>
      <c r="K122" s="188">
        <f>IFERROR(_xlfn.XLOOKUP(A122,[1]Fleet!A:A,[1]Fleet!E:E,""),"")</f>
        <v>9</v>
      </c>
      <c r="L122" s="188">
        <v>73.45</v>
      </c>
      <c r="M122" s="188" t="s">
        <v>109</v>
      </c>
      <c r="N122" s="188" t="s">
        <v>3956</v>
      </c>
      <c r="O122">
        <v>122</v>
      </c>
      <c r="P122">
        <f>_xlfn.XLOOKUP(A122,'[1]Classic Net to delete'!D:D,'[1]Classic Net to delete'!AA:AA,0)</f>
        <v>150</v>
      </c>
    </row>
    <row r="123" spans="1:16" x14ac:dyDescent="0.25">
      <c r="A123" t="s">
        <v>1811</v>
      </c>
      <c r="B123" t="s">
        <v>1812</v>
      </c>
      <c r="C123">
        <v>10.75</v>
      </c>
      <c r="D123" t="s">
        <v>19</v>
      </c>
      <c r="E123" t="str">
        <f>CONCATENATE(J123,". ",N123)</f>
        <v>14. Ladders</v>
      </c>
      <c r="F123">
        <v>75</v>
      </c>
      <c r="G123" t="b">
        <v>1</v>
      </c>
      <c r="H123">
        <v>152</v>
      </c>
      <c r="I123" s="193" t="s">
        <v>20</v>
      </c>
      <c r="J123" s="192">
        <v>14</v>
      </c>
      <c r="K123" s="188" t="str">
        <f>IFERROR(_xlfn.XLOOKUP(A123,[1]Fleet!A:A,[1]Fleet!E:E,""),"")</f>
        <v/>
      </c>
      <c r="L123" s="188">
        <v>10.050000000000001</v>
      </c>
      <c r="M123" s="188" t="s">
        <v>1813</v>
      </c>
      <c r="N123" s="188" t="s">
        <v>3956</v>
      </c>
      <c r="O123">
        <v>94</v>
      </c>
      <c r="P123">
        <f>_xlfn.XLOOKUP(A123,'[1]Classic Net to delete'!D:D,'[1]Classic Net to delete'!AA:AA,0)</f>
        <v>152</v>
      </c>
    </row>
    <row r="124" spans="1:16" x14ac:dyDescent="0.25">
      <c r="A124" t="s">
        <v>1839</v>
      </c>
      <c r="B124" t="s">
        <v>1840</v>
      </c>
      <c r="C124">
        <v>6.69</v>
      </c>
      <c r="D124" t="s">
        <v>19</v>
      </c>
      <c r="E124" t="str">
        <f>CONCATENATE(J124,". ",N124)</f>
        <v>14. Ladders</v>
      </c>
      <c r="F124">
        <v>75</v>
      </c>
      <c r="G124" t="b">
        <v>1</v>
      </c>
      <c r="H124">
        <v>153</v>
      </c>
      <c r="I124" s="193" t="s">
        <v>20</v>
      </c>
      <c r="J124" s="192">
        <v>14</v>
      </c>
      <c r="K124" s="188" t="str">
        <f>IFERROR(_xlfn.XLOOKUP(A124,[1]Fleet!A:A,[1]Fleet!E:E,""),"")</f>
        <v/>
      </c>
      <c r="L124" s="188">
        <v>6.25</v>
      </c>
      <c r="M124" s="188" t="s">
        <v>1840</v>
      </c>
      <c r="N124" s="188" t="s">
        <v>3956</v>
      </c>
      <c r="O124">
        <v>93</v>
      </c>
      <c r="P124">
        <f>_xlfn.XLOOKUP(A124,'[1]Classic Net to delete'!D:D,'[1]Classic Net to delete'!AA:AA,0)</f>
        <v>153</v>
      </c>
    </row>
    <row r="125" spans="1:16" x14ac:dyDescent="0.25">
      <c r="A125" t="s">
        <v>32</v>
      </c>
      <c r="B125" t="s">
        <v>33</v>
      </c>
      <c r="C125">
        <v>43.660000000000004</v>
      </c>
      <c r="D125" t="s">
        <v>19</v>
      </c>
      <c r="E125" t="str">
        <f>CONCATENATE(J125,". ",N125)</f>
        <v>14. Ladders</v>
      </c>
      <c r="F125">
        <v>75</v>
      </c>
      <c r="G125" t="b">
        <v>1</v>
      </c>
      <c r="H125">
        <v>157</v>
      </c>
      <c r="I125" s="193" t="s">
        <v>20</v>
      </c>
      <c r="J125" s="192">
        <v>14</v>
      </c>
      <c r="K125" s="188">
        <f>IFERROR(_xlfn.XLOOKUP(A125,[1]Fleet!A:A,[1]Fleet!E:E,""),"")</f>
        <v>8</v>
      </c>
      <c r="L125" s="188">
        <v>40.800000000000004</v>
      </c>
      <c r="M125" s="188" t="s">
        <v>34</v>
      </c>
      <c r="N125" s="188" t="s">
        <v>3956</v>
      </c>
      <c r="O125">
        <v>99</v>
      </c>
      <c r="P125">
        <f>_xlfn.XLOOKUP(A125,'[1]Classic Net to delete'!D:D,'[1]Classic Net to delete'!AA:AA,0)</f>
        <v>157</v>
      </c>
    </row>
    <row r="126" spans="1:16" x14ac:dyDescent="0.25">
      <c r="A126" t="s">
        <v>35</v>
      </c>
      <c r="B126" t="s">
        <v>36</v>
      </c>
      <c r="C126">
        <v>44.300000000000004</v>
      </c>
      <c r="D126" t="s">
        <v>19</v>
      </c>
      <c r="E126" t="str">
        <f>CONCATENATE(J126,". ",N126)</f>
        <v>14. Ladders</v>
      </c>
      <c r="F126">
        <v>75</v>
      </c>
      <c r="G126" t="b">
        <v>1</v>
      </c>
      <c r="H126">
        <v>158</v>
      </c>
      <c r="I126" s="193" t="s">
        <v>20</v>
      </c>
      <c r="J126" s="192">
        <v>14</v>
      </c>
      <c r="K126" s="188">
        <f>IFERROR(_xlfn.XLOOKUP(A126,[1]Fleet!A:A,[1]Fleet!E:E,""),"")</f>
        <v>4</v>
      </c>
      <c r="L126" s="188">
        <v>41.400000000000006</v>
      </c>
      <c r="M126" s="188" t="s">
        <v>37</v>
      </c>
      <c r="N126" s="188" t="s">
        <v>3956</v>
      </c>
      <c r="O126">
        <v>123</v>
      </c>
      <c r="P126">
        <f>_xlfn.XLOOKUP(A126,'[1]Classic Net to delete'!D:D,'[1]Classic Net to delete'!AA:AA,0)</f>
        <v>158</v>
      </c>
    </row>
    <row r="127" spans="1:16" x14ac:dyDescent="0.25">
      <c r="A127" t="s">
        <v>38</v>
      </c>
      <c r="B127" t="s">
        <v>39</v>
      </c>
      <c r="C127">
        <v>44.94</v>
      </c>
      <c r="D127" t="s">
        <v>19</v>
      </c>
      <c r="E127" t="str">
        <f>CONCATENATE(J127,". ",N127)</f>
        <v>14. Ladders</v>
      </c>
      <c r="F127">
        <v>75</v>
      </c>
      <c r="G127" t="b">
        <v>1</v>
      </c>
      <c r="H127">
        <v>159</v>
      </c>
      <c r="I127" s="193" t="s">
        <v>20</v>
      </c>
      <c r="J127" s="192">
        <v>14</v>
      </c>
      <c r="K127" s="188">
        <f>IFERROR(_xlfn.XLOOKUP(A127,[1]Fleet!A:A,[1]Fleet!E:E,""),"")</f>
        <v>6</v>
      </c>
      <c r="L127" s="188">
        <v>42</v>
      </c>
      <c r="M127" s="188" t="s">
        <v>40</v>
      </c>
      <c r="N127" s="188" t="s">
        <v>3956</v>
      </c>
      <c r="O127">
        <v>100</v>
      </c>
      <c r="P127">
        <f>_xlfn.XLOOKUP(A127,'[1]Classic Net to delete'!D:D,'[1]Classic Net to delete'!AA:AA,0)</f>
        <v>159</v>
      </c>
    </row>
    <row r="128" spans="1:16" x14ac:dyDescent="0.25">
      <c r="A128" t="s">
        <v>41</v>
      </c>
      <c r="B128" t="s">
        <v>42</v>
      </c>
      <c r="C128">
        <v>46.28</v>
      </c>
      <c r="D128" t="s">
        <v>19</v>
      </c>
      <c r="E128" t="str">
        <f>CONCATENATE(J128,". ",N128)</f>
        <v>14. Ladders</v>
      </c>
      <c r="F128">
        <v>75</v>
      </c>
      <c r="G128" t="b">
        <v>1</v>
      </c>
      <c r="H128">
        <v>160</v>
      </c>
      <c r="I128" s="193" t="s">
        <v>20</v>
      </c>
      <c r="J128" s="192">
        <v>14</v>
      </c>
      <c r="K128" s="188">
        <f>IFERROR(_xlfn.XLOOKUP(A128,[1]Fleet!A:A,[1]Fleet!E:E,""),"")</f>
        <v>2</v>
      </c>
      <c r="L128" s="188">
        <v>43.25</v>
      </c>
      <c r="M128" s="188" t="s">
        <v>43</v>
      </c>
      <c r="N128" s="188" t="s">
        <v>3956</v>
      </c>
      <c r="O128">
        <v>101</v>
      </c>
      <c r="P128">
        <f>_xlfn.XLOOKUP(A128,'[1]Classic Net to delete'!D:D,'[1]Classic Net to delete'!AA:AA,0)</f>
        <v>160</v>
      </c>
    </row>
    <row r="129" spans="1:16" x14ac:dyDescent="0.25">
      <c r="A129" t="s">
        <v>79</v>
      </c>
      <c r="B129" t="s">
        <v>80</v>
      </c>
      <c r="C129">
        <v>36.65</v>
      </c>
      <c r="D129" t="s">
        <v>19</v>
      </c>
      <c r="E129" t="str">
        <f>CONCATENATE(J129,". ",N129)</f>
        <v>14. Ladders</v>
      </c>
      <c r="F129">
        <v>75</v>
      </c>
      <c r="G129" t="b">
        <v>1</v>
      </c>
      <c r="H129">
        <v>164</v>
      </c>
      <c r="I129" s="193" t="s">
        <v>20</v>
      </c>
      <c r="J129" s="192">
        <v>14</v>
      </c>
      <c r="K129" s="188">
        <f>IFERROR(_xlfn.XLOOKUP(A129,[1]Fleet!A:A,[1]Fleet!E:E,""),"")</f>
        <v>1</v>
      </c>
      <c r="L129" s="188">
        <v>34.25</v>
      </c>
      <c r="M129" s="188" t="s">
        <v>81</v>
      </c>
      <c r="N129" s="188" t="s">
        <v>3956</v>
      </c>
      <c r="O129">
        <v>112</v>
      </c>
      <c r="P129">
        <f>_xlfn.XLOOKUP(A129,'[1]Classic Net to delete'!D:D,'[1]Classic Net to delete'!AA:AA,0)</f>
        <v>164</v>
      </c>
    </row>
    <row r="130" spans="1:16" x14ac:dyDescent="0.25">
      <c r="A130" t="s">
        <v>82</v>
      </c>
      <c r="B130" t="s">
        <v>83</v>
      </c>
      <c r="C130">
        <v>38.04</v>
      </c>
      <c r="D130" t="s">
        <v>19</v>
      </c>
      <c r="E130" t="str">
        <f>CONCATENATE(J130,". ",N130)</f>
        <v>14. Ladders</v>
      </c>
      <c r="F130">
        <v>75</v>
      </c>
      <c r="G130" t="b">
        <v>1</v>
      </c>
      <c r="H130">
        <v>165</v>
      </c>
      <c r="I130" s="193" t="s">
        <v>20</v>
      </c>
      <c r="J130" s="192">
        <v>14</v>
      </c>
      <c r="K130" s="188">
        <f>IFERROR(_xlfn.XLOOKUP(A130,[1]Fleet!A:A,[1]Fleet!E:E,""),"")</f>
        <v>1</v>
      </c>
      <c r="L130" s="188">
        <v>35.550000000000004</v>
      </c>
      <c r="M130" s="188" t="s">
        <v>84</v>
      </c>
      <c r="N130" s="188" t="s">
        <v>3956</v>
      </c>
      <c r="O130">
        <v>113</v>
      </c>
      <c r="P130">
        <f>_xlfn.XLOOKUP(A130,'[1]Classic Net to delete'!D:D,'[1]Classic Net to delete'!AA:AA,0)</f>
        <v>165</v>
      </c>
    </row>
    <row r="131" spans="1:16" x14ac:dyDescent="0.25">
      <c r="A131" t="s">
        <v>85</v>
      </c>
      <c r="B131" t="s">
        <v>86</v>
      </c>
      <c r="C131">
        <v>0</v>
      </c>
      <c r="D131" t="s">
        <v>19</v>
      </c>
      <c r="E131" t="str">
        <f>CONCATENATE(J131,". ",N131)</f>
        <v>14. Ladders</v>
      </c>
      <c r="F131">
        <v>75</v>
      </c>
      <c r="G131" t="b">
        <v>0</v>
      </c>
      <c r="H131">
        <v>166</v>
      </c>
      <c r="I131" s="193" t="s">
        <v>20</v>
      </c>
      <c r="J131" s="192">
        <v>14</v>
      </c>
      <c r="K131" s="188">
        <f>IFERROR(_xlfn.XLOOKUP(A131,[1]Fleet!A:A,[1]Fleet!E:E,""),"")</f>
        <v>0</v>
      </c>
      <c r="L131" s="188">
        <v>40.800000000000004</v>
      </c>
      <c r="M131" s="188" t="s">
        <v>87</v>
      </c>
      <c r="N131" s="188" t="s">
        <v>3956</v>
      </c>
      <c r="O131">
        <v>114</v>
      </c>
      <c r="P131">
        <f>_xlfn.XLOOKUP(A131,'[1]Classic Net to delete'!D:D,'[1]Classic Net to delete'!AA:AA,0)</f>
        <v>166</v>
      </c>
    </row>
    <row r="132" spans="1:16" x14ac:dyDescent="0.25">
      <c r="A132" t="s">
        <v>88</v>
      </c>
      <c r="B132" t="s">
        <v>89</v>
      </c>
      <c r="C132">
        <v>47.03</v>
      </c>
      <c r="D132" t="s">
        <v>19</v>
      </c>
      <c r="E132" t="str">
        <f>CONCATENATE(J132,". ",N132)</f>
        <v>14. Ladders</v>
      </c>
      <c r="F132">
        <v>75</v>
      </c>
      <c r="G132" t="b">
        <v>1</v>
      </c>
      <c r="H132">
        <v>171</v>
      </c>
      <c r="I132" s="193" t="s">
        <v>20</v>
      </c>
      <c r="J132" s="192">
        <v>14</v>
      </c>
      <c r="K132" s="188">
        <f>IFERROR(_xlfn.XLOOKUP(A132,[1]Fleet!A:A,[1]Fleet!E:E,""),"")</f>
        <v>1</v>
      </c>
      <c r="L132" s="188">
        <v>43.95</v>
      </c>
      <c r="M132" s="188" t="s">
        <v>90</v>
      </c>
      <c r="N132" s="188" t="s">
        <v>3956</v>
      </c>
      <c r="O132">
        <v>115</v>
      </c>
      <c r="P132">
        <f>_xlfn.XLOOKUP(A132,'[1]Classic Net to delete'!D:D,'[1]Classic Net to delete'!AA:AA,0)</f>
        <v>171</v>
      </c>
    </row>
    <row r="133" spans="1:16" x14ac:dyDescent="0.25">
      <c r="A133" t="s">
        <v>91</v>
      </c>
      <c r="B133" t="s">
        <v>92</v>
      </c>
      <c r="C133">
        <v>49.65</v>
      </c>
      <c r="D133" t="s">
        <v>19</v>
      </c>
      <c r="E133" t="str">
        <f>CONCATENATE(J133,". ",N133)</f>
        <v>14. Ladders</v>
      </c>
      <c r="F133">
        <v>75</v>
      </c>
      <c r="G133" t="b">
        <v>1</v>
      </c>
      <c r="H133">
        <v>172</v>
      </c>
      <c r="I133" s="193" t="s">
        <v>20</v>
      </c>
      <c r="J133" s="192">
        <v>14</v>
      </c>
      <c r="K133" s="188">
        <f>IFERROR(_xlfn.XLOOKUP(A133,[1]Fleet!A:A,[1]Fleet!E:E,""),"")</f>
        <v>4</v>
      </c>
      <c r="L133" s="188">
        <v>46.400000000000006</v>
      </c>
      <c r="M133" s="188" t="s">
        <v>93</v>
      </c>
      <c r="N133" s="188" t="s">
        <v>3956</v>
      </c>
      <c r="O133">
        <v>116</v>
      </c>
      <c r="P133">
        <f>_xlfn.XLOOKUP(A133,'[1]Classic Net to delete'!D:D,'[1]Classic Net to delete'!AA:AA,0)</f>
        <v>172</v>
      </c>
    </row>
    <row r="134" spans="1:16" x14ac:dyDescent="0.25">
      <c r="A134" t="s">
        <v>94</v>
      </c>
      <c r="B134" t="s">
        <v>95</v>
      </c>
      <c r="C134">
        <v>52.38</v>
      </c>
      <c r="D134" t="s">
        <v>19</v>
      </c>
      <c r="E134" t="str">
        <f>CONCATENATE(J134,". ",N134)</f>
        <v>14. Ladders</v>
      </c>
      <c r="F134">
        <v>75</v>
      </c>
      <c r="G134" t="b">
        <v>1</v>
      </c>
      <c r="H134">
        <v>173</v>
      </c>
      <c r="I134" s="193" t="s">
        <v>20</v>
      </c>
      <c r="J134" s="192">
        <v>14</v>
      </c>
      <c r="K134" s="188">
        <f>IFERROR(_xlfn.XLOOKUP(A134,[1]Fleet!A:A,[1]Fleet!E:E,""),"")</f>
        <v>6</v>
      </c>
      <c r="L134" s="188">
        <v>48.95</v>
      </c>
      <c r="M134" s="188" t="s">
        <v>96</v>
      </c>
      <c r="N134" s="188" t="s">
        <v>3956</v>
      </c>
      <c r="O134">
        <v>117</v>
      </c>
      <c r="P134">
        <f>_xlfn.XLOOKUP(A134,'[1]Classic Net to delete'!D:D,'[1]Classic Net to delete'!AA:AA,0)</f>
        <v>173</v>
      </c>
    </row>
    <row r="135" spans="1:16" x14ac:dyDescent="0.25">
      <c r="A135" t="s">
        <v>1823</v>
      </c>
      <c r="B135" t="s">
        <v>1824</v>
      </c>
      <c r="C135">
        <v>6.69</v>
      </c>
      <c r="D135" t="s">
        <v>19</v>
      </c>
      <c r="E135" t="str">
        <f>CONCATENATE(J135,". ",N135)</f>
        <v>15. Staging</v>
      </c>
      <c r="F135">
        <v>75</v>
      </c>
      <c r="G135" t="b">
        <v>0</v>
      </c>
      <c r="H135">
        <v>0</v>
      </c>
      <c r="I135" s="193" t="s">
        <v>20</v>
      </c>
      <c r="J135" s="192">
        <v>15</v>
      </c>
      <c r="K135" s="188" t="str">
        <f>IFERROR(_xlfn.XLOOKUP(A135,[1]Fleet!A:A,[1]Fleet!E:E,""),"")</f>
        <v/>
      </c>
      <c r="L135" s="188" t="s">
        <v>76</v>
      </c>
      <c r="M135" s="188" t="s">
        <v>76</v>
      </c>
      <c r="N135" s="188" t="s">
        <v>113</v>
      </c>
      <c r="O135">
        <v>163</v>
      </c>
      <c r="P135">
        <f>_xlfn.XLOOKUP(A135,'[1]Classic Net to delete'!D:D,'[1]Classic Net to delete'!AA:AA,0)</f>
        <v>0</v>
      </c>
    </row>
    <row r="136" spans="1:16" x14ac:dyDescent="0.25">
      <c r="A136" t="s">
        <v>1841</v>
      </c>
      <c r="B136" t="s">
        <v>1842</v>
      </c>
      <c r="C136">
        <v>2.89</v>
      </c>
      <c r="D136" t="s">
        <v>19</v>
      </c>
      <c r="E136" t="str">
        <f>CONCATENATE(J136,". ",N136)</f>
        <v>15. Staging</v>
      </c>
      <c r="F136">
        <v>75</v>
      </c>
      <c r="G136" t="b">
        <v>0</v>
      </c>
      <c r="H136">
        <v>0</v>
      </c>
      <c r="I136" s="193" t="s">
        <v>20</v>
      </c>
      <c r="J136" s="192">
        <v>15</v>
      </c>
      <c r="K136" s="188" t="str">
        <f>IFERROR(_xlfn.XLOOKUP(A136,[1]Fleet!A:A,[1]Fleet!E:E,""),"")</f>
        <v/>
      </c>
      <c r="L136" s="188" t="s">
        <v>76</v>
      </c>
      <c r="M136" s="188" t="s">
        <v>76</v>
      </c>
      <c r="N136" s="188" t="s">
        <v>113</v>
      </c>
      <c r="O136">
        <v>157</v>
      </c>
      <c r="P136">
        <f>_xlfn.XLOOKUP(A136,'[1]Classic Net to delete'!D:D,'[1]Classic Net to delete'!AA:AA,0)</f>
        <v>0</v>
      </c>
    </row>
    <row r="137" spans="1:16" x14ac:dyDescent="0.25">
      <c r="A137" t="s">
        <v>1843</v>
      </c>
      <c r="B137" t="s">
        <v>1844</v>
      </c>
      <c r="C137">
        <v>6.3100000000000005</v>
      </c>
      <c r="D137" t="s">
        <v>19</v>
      </c>
      <c r="E137" t="str">
        <f>CONCATENATE(J137,". ",N137)</f>
        <v>15. Staging</v>
      </c>
      <c r="F137">
        <v>75</v>
      </c>
      <c r="G137" t="b">
        <v>0</v>
      </c>
      <c r="H137">
        <v>0</v>
      </c>
      <c r="I137" s="193" t="s">
        <v>20</v>
      </c>
      <c r="J137" s="192">
        <v>15</v>
      </c>
      <c r="K137" s="188" t="str">
        <f>IFERROR(_xlfn.XLOOKUP(A137,[1]Fleet!A:A,[1]Fleet!E:E,""),"")</f>
        <v/>
      </c>
      <c r="L137" s="188" t="s">
        <v>76</v>
      </c>
      <c r="M137" s="188" t="s">
        <v>76</v>
      </c>
      <c r="N137" s="188" t="s">
        <v>113</v>
      </c>
      <c r="O137">
        <v>156</v>
      </c>
      <c r="P137">
        <f>_xlfn.XLOOKUP(A137,'[1]Classic Net to delete'!D:D,'[1]Classic Net to delete'!AA:AA,0)</f>
        <v>0</v>
      </c>
    </row>
    <row r="138" spans="1:16" x14ac:dyDescent="0.25">
      <c r="A138" t="s">
        <v>1845</v>
      </c>
      <c r="B138" t="s">
        <v>1846</v>
      </c>
      <c r="C138">
        <v>1.98</v>
      </c>
      <c r="D138" t="s">
        <v>19</v>
      </c>
      <c r="E138" t="str">
        <f>CONCATENATE(J138,". ",N138)</f>
        <v>15. Staging</v>
      </c>
      <c r="F138">
        <v>75</v>
      </c>
      <c r="G138" t="b">
        <v>0</v>
      </c>
      <c r="H138">
        <v>0</v>
      </c>
      <c r="I138" s="193" t="s">
        <v>20</v>
      </c>
      <c r="J138" s="192">
        <v>15</v>
      </c>
      <c r="K138" s="188" t="str">
        <f>IFERROR(_xlfn.XLOOKUP(A138,[1]Fleet!A:A,[1]Fleet!E:E,""),"")</f>
        <v/>
      </c>
      <c r="L138" s="188" t="s">
        <v>76</v>
      </c>
      <c r="M138" s="188" t="s">
        <v>76</v>
      </c>
      <c r="N138" s="188" t="s">
        <v>113</v>
      </c>
      <c r="O138">
        <v>155</v>
      </c>
      <c r="P138">
        <f>_xlfn.XLOOKUP(A138,'[1]Classic Net to delete'!D:D,'[1]Classic Net to delete'!AA:AA,0)</f>
        <v>0</v>
      </c>
    </row>
    <row r="139" spans="1:16" x14ac:dyDescent="0.25">
      <c r="A139" t="s">
        <v>1847</v>
      </c>
      <c r="B139" t="s">
        <v>1848</v>
      </c>
      <c r="C139">
        <v>2.35</v>
      </c>
      <c r="D139" t="s">
        <v>19</v>
      </c>
      <c r="E139" t="str">
        <f>CONCATENATE(J139,". ",N139)</f>
        <v>15. Staging</v>
      </c>
      <c r="F139">
        <v>75</v>
      </c>
      <c r="G139" t="b">
        <v>0</v>
      </c>
      <c r="H139">
        <v>0</v>
      </c>
      <c r="I139" s="193" t="s">
        <v>20</v>
      </c>
      <c r="J139" s="192">
        <v>15</v>
      </c>
      <c r="K139" s="188" t="str">
        <f>IFERROR(_xlfn.XLOOKUP(A139,[1]Fleet!A:A,[1]Fleet!E:E,""),"")</f>
        <v/>
      </c>
      <c r="L139" s="188" t="s">
        <v>76</v>
      </c>
      <c r="M139" s="188" t="s">
        <v>76</v>
      </c>
      <c r="N139" s="188" t="s">
        <v>113</v>
      </c>
      <c r="O139">
        <v>154</v>
      </c>
      <c r="P139">
        <f>_xlfn.XLOOKUP(A139,'[1]Classic Net to delete'!D:D,'[1]Classic Net to delete'!AA:AA,0)</f>
        <v>0</v>
      </c>
    </row>
    <row r="140" spans="1:16" x14ac:dyDescent="0.25">
      <c r="A140" t="s">
        <v>1849</v>
      </c>
      <c r="B140" t="s">
        <v>1850</v>
      </c>
      <c r="C140">
        <v>3.0500000000000003</v>
      </c>
      <c r="D140" t="s">
        <v>19</v>
      </c>
      <c r="E140" t="str">
        <f>CONCATENATE(J140,". ",N140)</f>
        <v>15. Staging</v>
      </c>
      <c r="F140">
        <v>75</v>
      </c>
      <c r="G140" t="b">
        <v>0</v>
      </c>
      <c r="H140">
        <v>0</v>
      </c>
      <c r="I140" s="193" t="s">
        <v>20</v>
      </c>
      <c r="J140" s="192">
        <v>15</v>
      </c>
      <c r="K140" s="188" t="str">
        <f>IFERROR(_xlfn.XLOOKUP(A140,[1]Fleet!A:A,[1]Fleet!E:E,""),"")</f>
        <v/>
      </c>
      <c r="L140" s="188" t="s">
        <v>76</v>
      </c>
      <c r="M140" s="188" t="s">
        <v>76</v>
      </c>
      <c r="N140" s="188" t="s">
        <v>113</v>
      </c>
      <c r="O140">
        <v>153</v>
      </c>
      <c r="P140">
        <f>_xlfn.XLOOKUP(A140,'[1]Classic Net to delete'!D:D,'[1]Classic Net to delete'!AA:AA,0)</f>
        <v>0</v>
      </c>
    </row>
    <row r="141" spans="1:16" x14ac:dyDescent="0.25">
      <c r="A141" t="s">
        <v>1851</v>
      </c>
      <c r="B141" t="s">
        <v>1852</v>
      </c>
      <c r="C141">
        <v>3.3200000000000003</v>
      </c>
      <c r="D141" t="s">
        <v>19</v>
      </c>
      <c r="E141" t="str">
        <f>CONCATENATE(J141,". ",N141)</f>
        <v>15. Staging</v>
      </c>
      <c r="F141">
        <v>75</v>
      </c>
      <c r="G141" t="b">
        <v>0</v>
      </c>
      <c r="H141">
        <v>0</v>
      </c>
      <c r="I141" s="193" t="s">
        <v>20</v>
      </c>
      <c r="J141" s="192">
        <v>15</v>
      </c>
      <c r="K141" s="188" t="str">
        <f>IFERROR(_xlfn.XLOOKUP(A141,[1]Fleet!A:A,[1]Fleet!E:E,""),"")</f>
        <v/>
      </c>
      <c r="L141" s="188" t="s">
        <v>76</v>
      </c>
      <c r="M141" s="188" t="s">
        <v>76</v>
      </c>
      <c r="N141" s="188" t="s">
        <v>113</v>
      </c>
      <c r="O141">
        <v>152</v>
      </c>
      <c r="P141">
        <f>_xlfn.XLOOKUP(A141,'[1]Classic Net to delete'!D:D,'[1]Classic Net to delete'!AA:AA,0)</f>
        <v>0</v>
      </c>
    </row>
    <row r="142" spans="1:16" x14ac:dyDescent="0.25">
      <c r="A142" t="s">
        <v>1853</v>
      </c>
      <c r="B142" t="s">
        <v>1854</v>
      </c>
      <c r="C142">
        <v>3.69</v>
      </c>
      <c r="D142" t="s">
        <v>19</v>
      </c>
      <c r="E142" t="str">
        <f>CONCATENATE(J142,". ",N142)</f>
        <v>15. Staging</v>
      </c>
      <c r="F142">
        <v>75</v>
      </c>
      <c r="G142" t="b">
        <v>0</v>
      </c>
      <c r="H142">
        <v>0</v>
      </c>
      <c r="I142" s="193" t="s">
        <v>20</v>
      </c>
      <c r="J142" s="192">
        <v>15</v>
      </c>
      <c r="K142" s="188" t="str">
        <f>IFERROR(_xlfn.XLOOKUP(A142,[1]Fleet!A:A,[1]Fleet!E:E,""),"")</f>
        <v/>
      </c>
      <c r="L142" s="188" t="s">
        <v>76</v>
      </c>
      <c r="M142" s="188" t="s">
        <v>76</v>
      </c>
      <c r="N142" s="188" t="s">
        <v>113</v>
      </c>
      <c r="O142">
        <v>151</v>
      </c>
      <c r="P142">
        <f>_xlfn.XLOOKUP(A142,'[1]Classic Net to delete'!D:D,'[1]Classic Net to delete'!AA:AA,0)</f>
        <v>0</v>
      </c>
    </row>
    <row r="143" spans="1:16" x14ac:dyDescent="0.25">
      <c r="A143" t="s">
        <v>1855</v>
      </c>
      <c r="B143" t="s">
        <v>1856</v>
      </c>
      <c r="C143">
        <v>4.01</v>
      </c>
      <c r="D143" t="s">
        <v>19</v>
      </c>
      <c r="E143" t="str">
        <f>CONCATENATE(J143,". ",N143)</f>
        <v>15. Staging</v>
      </c>
      <c r="F143">
        <v>75</v>
      </c>
      <c r="G143" t="b">
        <v>0</v>
      </c>
      <c r="H143">
        <v>0</v>
      </c>
      <c r="I143" s="193" t="s">
        <v>20</v>
      </c>
      <c r="J143" s="192">
        <v>15</v>
      </c>
      <c r="K143" s="188" t="str">
        <f>IFERROR(_xlfn.XLOOKUP(A143,[1]Fleet!A:A,[1]Fleet!E:E,""),"")</f>
        <v/>
      </c>
      <c r="L143" s="188" t="s">
        <v>76</v>
      </c>
      <c r="M143" s="188" t="s">
        <v>76</v>
      </c>
      <c r="N143" s="188" t="s">
        <v>113</v>
      </c>
      <c r="O143">
        <v>150</v>
      </c>
      <c r="P143">
        <f>_xlfn.XLOOKUP(A143,'[1]Classic Net to delete'!D:D,'[1]Classic Net to delete'!AA:AA,0)</f>
        <v>0</v>
      </c>
    </row>
    <row r="144" spans="1:16" x14ac:dyDescent="0.25">
      <c r="A144" t="s">
        <v>1857</v>
      </c>
      <c r="B144" t="s">
        <v>1858</v>
      </c>
      <c r="C144">
        <v>4.76</v>
      </c>
      <c r="D144" t="s">
        <v>19</v>
      </c>
      <c r="E144" t="str">
        <f>CONCATENATE(J144,". ",N144)</f>
        <v>15. Staging</v>
      </c>
      <c r="F144">
        <v>75</v>
      </c>
      <c r="G144" t="b">
        <v>0</v>
      </c>
      <c r="H144">
        <v>0</v>
      </c>
      <c r="I144" s="193" t="s">
        <v>20</v>
      </c>
      <c r="J144" s="192">
        <v>15</v>
      </c>
      <c r="K144" s="188" t="str">
        <f>IFERROR(_xlfn.XLOOKUP(A144,[1]Fleet!A:A,[1]Fleet!E:E,""),"")</f>
        <v/>
      </c>
      <c r="L144" s="188" t="s">
        <v>76</v>
      </c>
      <c r="M144" s="188" t="s">
        <v>76</v>
      </c>
      <c r="N144" s="188" t="s">
        <v>113</v>
      </c>
      <c r="O144">
        <v>149</v>
      </c>
      <c r="P144">
        <f>_xlfn.XLOOKUP(A144,'[1]Classic Net to delete'!D:D,'[1]Classic Net to delete'!AA:AA,0)</f>
        <v>0</v>
      </c>
    </row>
    <row r="145" spans="1:16" x14ac:dyDescent="0.25">
      <c r="A145" t="s">
        <v>1837</v>
      </c>
      <c r="B145" t="s">
        <v>1838</v>
      </c>
      <c r="C145">
        <v>1.34</v>
      </c>
      <c r="D145" t="s">
        <v>19</v>
      </c>
      <c r="E145" t="str">
        <f>CONCATENATE(J145,". ",N145)</f>
        <v>15. Staging</v>
      </c>
      <c r="F145">
        <v>75</v>
      </c>
      <c r="G145" t="b">
        <v>0</v>
      </c>
      <c r="H145">
        <v>100</v>
      </c>
      <c r="I145" s="193" t="s">
        <v>20</v>
      </c>
      <c r="J145" s="192">
        <v>15</v>
      </c>
      <c r="K145" s="188" t="str">
        <f>IFERROR(_xlfn.XLOOKUP(A145,[1]Fleet!A:A,[1]Fleet!E:E,""),"")</f>
        <v/>
      </c>
      <c r="L145" s="188">
        <v>1.25</v>
      </c>
      <c r="M145" s="188" t="s">
        <v>1838</v>
      </c>
      <c r="N145" s="188" t="s">
        <v>113</v>
      </c>
      <c r="O145">
        <v>158</v>
      </c>
      <c r="P145">
        <f>_xlfn.XLOOKUP(A145,'[1]Classic Net to delete'!D:D,'[1]Classic Net to delete'!AA:AA,0)</f>
        <v>100</v>
      </c>
    </row>
    <row r="146" spans="1:16" x14ac:dyDescent="0.25">
      <c r="A146" t="s">
        <v>1814</v>
      </c>
      <c r="B146" t="s">
        <v>1815</v>
      </c>
      <c r="C146">
        <v>6.69</v>
      </c>
      <c r="D146" t="s">
        <v>19</v>
      </c>
      <c r="E146" t="str">
        <f>CONCATENATE(J146,". ",N146)</f>
        <v>15. Staging</v>
      </c>
      <c r="F146">
        <v>75</v>
      </c>
      <c r="G146" t="b">
        <v>1</v>
      </c>
      <c r="H146">
        <v>178</v>
      </c>
      <c r="I146" s="193" t="s">
        <v>20</v>
      </c>
      <c r="J146" s="192">
        <v>15</v>
      </c>
      <c r="K146" s="188" t="str">
        <f>IFERROR(_xlfn.XLOOKUP(A146,[1]Fleet!A:A,[1]Fleet!E:E,""),"")</f>
        <v/>
      </c>
      <c r="L146" s="188">
        <v>6.25</v>
      </c>
      <c r="M146" s="188" t="s">
        <v>1816</v>
      </c>
      <c r="N146" s="188" t="s">
        <v>113</v>
      </c>
      <c r="O146">
        <v>166</v>
      </c>
      <c r="P146">
        <f>_xlfn.XLOOKUP(A146,'[1]Classic Net to delete'!D:D,'[1]Classic Net to delete'!AA:AA,0)</f>
        <v>178</v>
      </c>
    </row>
    <row r="147" spans="1:16" x14ac:dyDescent="0.25">
      <c r="A147" t="s">
        <v>1817</v>
      </c>
      <c r="B147" t="s">
        <v>1818</v>
      </c>
      <c r="C147">
        <v>6.69</v>
      </c>
      <c r="D147" t="s">
        <v>19</v>
      </c>
      <c r="E147" t="str">
        <f>CONCATENATE(J147,". ",N147)</f>
        <v>15. Staging</v>
      </c>
      <c r="F147">
        <v>75</v>
      </c>
      <c r="G147" t="b">
        <v>1</v>
      </c>
      <c r="H147">
        <v>179</v>
      </c>
      <c r="I147" s="193" t="s">
        <v>20</v>
      </c>
      <c r="J147" s="192">
        <v>15</v>
      </c>
      <c r="K147" s="188" t="str">
        <f>IFERROR(_xlfn.XLOOKUP(A147,[1]Fleet!A:A,[1]Fleet!E:E,""),"")</f>
        <v/>
      </c>
      <c r="L147" s="188">
        <v>6.25</v>
      </c>
      <c r="M147" s="188" t="s">
        <v>1819</v>
      </c>
      <c r="N147" s="188" t="s">
        <v>113</v>
      </c>
      <c r="O147">
        <v>165</v>
      </c>
      <c r="P147">
        <f>_xlfn.XLOOKUP(A147,'[1]Classic Net to delete'!D:D,'[1]Classic Net to delete'!AA:AA,0)</f>
        <v>179</v>
      </c>
    </row>
    <row r="148" spans="1:16" x14ac:dyDescent="0.25">
      <c r="A148" t="s">
        <v>1820</v>
      </c>
      <c r="B148" t="s">
        <v>1821</v>
      </c>
      <c r="C148">
        <v>6.69</v>
      </c>
      <c r="D148" t="s">
        <v>19</v>
      </c>
      <c r="E148" t="str">
        <f>CONCATENATE(J148,". ",N148)</f>
        <v>15. Staging</v>
      </c>
      <c r="F148">
        <v>75</v>
      </c>
      <c r="G148" t="b">
        <v>1</v>
      </c>
      <c r="H148">
        <v>180</v>
      </c>
      <c r="I148" s="193" t="s">
        <v>20</v>
      </c>
      <c r="J148" s="192">
        <v>15</v>
      </c>
      <c r="K148" s="188" t="str">
        <f>IFERROR(_xlfn.XLOOKUP(A148,[1]Fleet!A:A,[1]Fleet!E:E,""),"")</f>
        <v/>
      </c>
      <c r="L148" s="188">
        <v>6.25</v>
      </c>
      <c r="M148" s="188" t="s">
        <v>1822</v>
      </c>
      <c r="N148" s="188" t="s">
        <v>113</v>
      </c>
      <c r="O148">
        <v>164</v>
      </c>
      <c r="P148">
        <f>_xlfn.XLOOKUP(A148,'[1]Classic Net to delete'!D:D,'[1]Classic Net to delete'!AA:AA,0)</f>
        <v>180</v>
      </c>
    </row>
    <row r="149" spans="1:16" x14ac:dyDescent="0.25">
      <c r="A149" t="s">
        <v>1825</v>
      </c>
      <c r="B149" t="s">
        <v>1826</v>
      </c>
      <c r="C149">
        <v>3.0500000000000003</v>
      </c>
      <c r="D149" t="s">
        <v>19</v>
      </c>
      <c r="E149" t="str">
        <f>CONCATENATE(J149,". ",N149)</f>
        <v>15. Staging</v>
      </c>
      <c r="F149">
        <v>75</v>
      </c>
      <c r="G149" t="b">
        <v>1</v>
      </c>
      <c r="H149">
        <v>184</v>
      </c>
      <c r="I149" s="193" t="s">
        <v>20</v>
      </c>
      <c r="J149" s="192">
        <v>15</v>
      </c>
      <c r="K149" s="188" t="str">
        <f>IFERROR(_xlfn.XLOOKUP(A149,[1]Fleet!A:A,[1]Fleet!E:E,""),"")</f>
        <v/>
      </c>
      <c r="L149" s="188">
        <v>2.85</v>
      </c>
      <c r="M149" s="188" t="s">
        <v>1827</v>
      </c>
      <c r="N149" s="188" t="s">
        <v>113</v>
      </c>
      <c r="O149">
        <v>162</v>
      </c>
      <c r="P149">
        <f>_xlfn.XLOOKUP(A149,'[1]Classic Net to delete'!D:D,'[1]Classic Net to delete'!AA:AA,0)</f>
        <v>184</v>
      </c>
    </row>
    <row r="150" spans="1:16" x14ac:dyDescent="0.25">
      <c r="A150" t="s">
        <v>1828</v>
      </c>
      <c r="B150" t="s">
        <v>1829</v>
      </c>
      <c r="C150">
        <v>3.0500000000000003</v>
      </c>
      <c r="D150" t="s">
        <v>19</v>
      </c>
      <c r="E150" t="str">
        <f>CONCATENATE(J150,". ",N150)</f>
        <v>15. Staging</v>
      </c>
      <c r="F150">
        <v>75</v>
      </c>
      <c r="G150" t="b">
        <v>1</v>
      </c>
      <c r="H150">
        <v>185</v>
      </c>
      <c r="I150" s="193" t="s">
        <v>20</v>
      </c>
      <c r="J150" s="192">
        <v>15</v>
      </c>
      <c r="K150" s="188" t="str">
        <f>IFERROR(_xlfn.XLOOKUP(A150,[1]Fleet!A:A,[1]Fleet!E:E,""),"")</f>
        <v/>
      </c>
      <c r="L150" s="188">
        <v>2.85</v>
      </c>
      <c r="M150" s="188" t="s">
        <v>1830</v>
      </c>
      <c r="N150" s="188" t="s">
        <v>113</v>
      </c>
      <c r="O150">
        <v>161</v>
      </c>
      <c r="P150">
        <f>_xlfn.XLOOKUP(A150,'[1]Classic Net to delete'!D:D,'[1]Classic Net to delete'!AA:AA,0)</f>
        <v>185</v>
      </c>
    </row>
    <row r="151" spans="1:16" x14ac:dyDescent="0.25">
      <c r="A151" t="s">
        <v>1831</v>
      </c>
      <c r="B151" t="s">
        <v>1832</v>
      </c>
      <c r="C151">
        <v>3.0500000000000003</v>
      </c>
      <c r="D151" t="s">
        <v>19</v>
      </c>
      <c r="E151" t="str">
        <f>CONCATENATE(J151,". ",N151)</f>
        <v>15. Staging</v>
      </c>
      <c r="F151">
        <v>75</v>
      </c>
      <c r="G151" t="b">
        <v>1</v>
      </c>
      <c r="H151">
        <v>186</v>
      </c>
      <c r="I151" s="193" t="s">
        <v>20</v>
      </c>
      <c r="J151" s="192">
        <v>15</v>
      </c>
      <c r="K151" s="188" t="str">
        <f>IFERROR(_xlfn.XLOOKUP(A151,[1]Fleet!A:A,[1]Fleet!E:E,""),"")</f>
        <v/>
      </c>
      <c r="L151" s="188">
        <v>2.85</v>
      </c>
      <c r="M151" s="188" t="s">
        <v>1833</v>
      </c>
      <c r="N151" s="188" t="s">
        <v>113</v>
      </c>
      <c r="O151">
        <v>160</v>
      </c>
      <c r="P151">
        <f>_xlfn.XLOOKUP(A151,'[1]Classic Net to delete'!D:D,'[1]Classic Net to delete'!AA:AA,0)</f>
        <v>186</v>
      </c>
    </row>
    <row r="152" spans="1:16" x14ac:dyDescent="0.25">
      <c r="A152" t="s">
        <v>1834</v>
      </c>
      <c r="B152" t="s">
        <v>1835</v>
      </c>
      <c r="C152">
        <v>3.0500000000000003</v>
      </c>
      <c r="D152" t="s">
        <v>19</v>
      </c>
      <c r="E152" t="str">
        <f>CONCATENATE(J152,". ",N152)</f>
        <v>15. Staging</v>
      </c>
      <c r="F152">
        <v>75</v>
      </c>
      <c r="G152" t="b">
        <v>1</v>
      </c>
      <c r="H152">
        <v>187</v>
      </c>
      <c r="I152" s="193" t="s">
        <v>20</v>
      </c>
      <c r="J152" s="192">
        <v>15</v>
      </c>
      <c r="K152" s="188" t="str">
        <f>IFERROR(_xlfn.XLOOKUP(A152,[1]Fleet!A:A,[1]Fleet!E:E,""),"")</f>
        <v/>
      </c>
      <c r="L152" s="188">
        <v>2.85</v>
      </c>
      <c r="M152" s="188" t="s">
        <v>1836</v>
      </c>
      <c r="N152" s="188" t="s">
        <v>113</v>
      </c>
      <c r="O152">
        <v>159</v>
      </c>
      <c r="P152">
        <f>_xlfn.XLOOKUP(A152,'[1]Classic Net to delete'!D:D,'[1]Classic Net to delete'!AA:AA,0)</f>
        <v>187</v>
      </c>
    </row>
    <row r="153" spans="1:16" x14ac:dyDescent="0.25">
      <c r="A153" t="s">
        <v>110</v>
      </c>
      <c r="B153" t="s">
        <v>111</v>
      </c>
      <c r="C153">
        <v>18.62</v>
      </c>
      <c r="D153" t="s">
        <v>19</v>
      </c>
      <c r="E153" t="str">
        <f>CONCATENATE(J153,". ",N153)</f>
        <v>15. Staging</v>
      </c>
      <c r="F153">
        <v>75</v>
      </c>
      <c r="G153" t="b">
        <v>1</v>
      </c>
      <c r="H153">
        <v>191</v>
      </c>
      <c r="I153" s="193" t="s">
        <v>20</v>
      </c>
      <c r="J153" s="192">
        <v>15</v>
      </c>
      <c r="K153" s="188">
        <f>IFERROR(_xlfn.XLOOKUP(A153,[1]Fleet!A:A,[1]Fleet!E:E,""),"")</f>
        <v>11</v>
      </c>
      <c r="L153" s="188">
        <v>17.400000000000002</v>
      </c>
      <c r="M153" s="188" t="s">
        <v>112</v>
      </c>
      <c r="N153" s="188" t="s">
        <v>113</v>
      </c>
      <c r="O153">
        <v>167</v>
      </c>
      <c r="P153">
        <f>_xlfn.XLOOKUP(A153,'[1]Classic Net to delete'!D:D,'[1]Classic Net to delete'!AA:AA,0)</f>
        <v>191</v>
      </c>
    </row>
    <row r="154" spans="1:16" x14ac:dyDescent="0.25">
      <c r="A154" t="s">
        <v>114</v>
      </c>
      <c r="B154" t="s">
        <v>115</v>
      </c>
      <c r="C154">
        <v>21.19</v>
      </c>
      <c r="D154" t="s">
        <v>19</v>
      </c>
      <c r="E154" t="str">
        <f>CONCATENATE(J154,". ",N154)</f>
        <v>15. Staging</v>
      </c>
      <c r="F154">
        <v>75</v>
      </c>
      <c r="G154" t="b">
        <v>1</v>
      </c>
      <c r="H154">
        <v>192</v>
      </c>
      <c r="I154" s="193" t="s">
        <v>20</v>
      </c>
      <c r="J154" s="192">
        <v>15</v>
      </c>
      <c r="K154" s="188">
        <f>IFERROR(_xlfn.XLOOKUP(A154,[1]Fleet!A:A,[1]Fleet!E:E,""),"")</f>
        <v>15</v>
      </c>
      <c r="L154" s="188">
        <v>19.8</v>
      </c>
      <c r="M154" s="188" t="s">
        <v>116</v>
      </c>
      <c r="N154" s="188" t="s">
        <v>113</v>
      </c>
      <c r="O154">
        <v>168</v>
      </c>
      <c r="P154">
        <f>_xlfn.XLOOKUP(A154,'[1]Classic Net to delete'!D:D,'[1]Classic Net to delete'!AA:AA,0)</f>
        <v>192</v>
      </c>
    </row>
    <row r="155" spans="1:16" x14ac:dyDescent="0.25">
      <c r="A155" t="s">
        <v>117</v>
      </c>
      <c r="B155" t="s">
        <v>118</v>
      </c>
      <c r="C155">
        <v>23.97</v>
      </c>
      <c r="D155" t="s">
        <v>19</v>
      </c>
      <c r="E155" t="str">
        <f>CONCATENATE(J155,". ",N155)</f>
        <v>15. Staging</v>
      </c>
      <c r="F155">
        <v>75</v>
      </c>
      <c r="G155" t="b">
        <v>1</v>
      </c>
      <c r="H155">
        <v>193</v>
      </c>
      <c r="I155" s="193" t="s">
        <v>20</v>
      </c>
      <c r="J155" s="192">
        <v>15</v>
      </c>
      <c r="K155" s="188">
        <f>IFERROR(_xlfn.XLOOKUP(A155,[1]Fleet!A:A,[1]Fleet!E:E,""),"")</f>
        <v>16</v>
      </c>
      <c r="L155" s="188">
        <v>22.400000000000002</v>
      </c>
      <c r="M155" s="188" t="s">
        <v>119</v>
      </c>
      <c r="N155" s="188" t="s">
        <v>113</v>
      </c>
      <c r="O155">
        <v>169</v>
      </c>
      <c r="P155">
        <f>_xlfn.XLOOKUP(A155,'[1]Classic Net to delete'!D:D,'[1]Classic Net to delete'!AA:AA,0)</f>
        <v>193</v>
      </c>
    </row>
    <row r="156" spans="1:16" x14ac:dyDescent="0.25">
      <c r="A156" t="s">
        <v>120</v>
      </c>
      <c r="B156" t="s">
        <v>121</v>
      </c>
      <c r="C156">
        <v>26.16</v>
      </c>
      <c r="D156" t="s">
        <v>19</v>
      </c>
      <c r="E156" t="str">
        <f>CONCATENATE(J156,". ",N156)</f>
        <v>15. Staging</v>
      </c>
      <c r="F156">
        <v>75</v>
      </c>
      <c r="G156" t="b">
        <v>1</v>
      </c>
      <c r="H156">
        <v>194</v>
      </c>
      <c r="I156" s="193" t="s">
        <v>20</v>
      </c>
      <c r="J156" s="192">
        <v>15</v>
      </c>
      <c r="K156" s="188">
        <f>IFERROR(_xlfn.XLOOKUP(A156,[1]Fleet!A:A,[1]Fleet!E:E,""),"")</f>
        <v>18</v>
      </c>
      <c r="L156" s="188">
        <v>24.450000000000003</v>
      </c>
      <c r="M156" s="188" t="s">
        <v>122</v>
      </c>
      <c r="N156" s="188" t="s">
        <v>113</v>
      </c>
      <c r="O156">
        <v>170</v>
      </c>
      <c r="P156">
        <f>_xlfn.XLOOKUP(A156,'[1]Classic Net to delete'!D:D,'[1]Classic Net to delete'!AA:AA,0)</f>
        <v>194</v>
      </c>
    </row>
    <row r="157" spans="1:16" x14ac:dyDescent="0.25">
      <c r="A157" t="s">
        <v>123</v>
      </c>
      <c r="B157" t="s">
        <v>124</v>
      </c>
      <c r="C157">
        <v>29.69</v>
      </c>
      <c r="D157" t="s">
        <v>19</v>
      </c>
      <c r="E157" t="str">
        <f>CONCATENATE(J157,". ",N157)</f>
        <v>15. Staging</v>
      </c>
      <c r="F157">
        <v>75</v>
      </c>
      <c r="G157" t="b">
        <v>1</v>
      </c>
      <c r="H157">
        <v>195</v>
      </c>
      <c r="I157" s="193" t="s">
        <v>20</v>
      </c>
      <c r="J157" s="192">
        <v>15</v>
      </c>
      <c r="K157" s="188">
        <f>IFERROR(_xlfn.XLOOKUP(A157,[1]Fleet!A:A,[1]Fleet!E:E,""),"")</f>
        <v>7</v>
      </c>
      <c r="L157" s="188">
        <v>27.75</v>
      </c>
      <c r="M157" s="188" t="s">
        <v>125</v>
      </c>
      <c r="N157" s="188" t="s">
        <v>113</v>
      </c>
      <c r="O157">
        <v>171</v>
      </c>
      <c r="P157">
        <f>_xlfn.XLOOKUP(A157,'[1]Classic Net to delete'!D:D,'[1]Classic Net to delete'!AA:AA,0)</f>
        <v>195</v>
      </c>
    </row>
    <row r="158" spans="1:16" x14ac:dyDescent="0.25">
      <c r="A158" t="s">
        <v>126</v>
      </c>
      <c r="B158" t="s">
        <v>127</v>
      </c>
      <c r="C158">
        <v>34.130000000000003</v>
      </c>
      <c r="D158" t="s">
        <v>19</v>
      </c>
      <c r="E158" t="str">
        <f>CONCATENATE(J158,". ",N158)</f>
        <v>15. Staging</v>
      </c>
      <c r="F158">
        <v>75</v>
      </c>
      <c r="G158" t="b">
        <v>1</v>
      </c>
      <c r="H158">
        <v>196</v>
      </c>
      <c r="I158" s="193" t="s">
        <v>20</v>
      </c>
      <c r="J158" s="192">
        <v>15</v>
      </c>
      <c r="K158" s="188">
        <f>IFERROR(_xlfn.XLOOKUP(A158,[1]Fleet!A:A,[1]Fleet!E:E,""),"")</f>
        <v>8</v>
      </c>
      <c r="L158" s="188">
        <v>31.900000000000002</v>
      </c>
      <c r="M158" s="188" t="s">
        <v>128</v>
      </c>
      <c r="N158" s="188" t="s">
        <v>113</v>
      </c>
      <c r="O158">
        <v>172</v>
      </c>
      <c r="P158">
        <f>_xlfn.XLOOKUP(A158,'[1]Classic Net to delete'!D:D,'[1]Classic Net to delete'!AA:AA,0)</f>
        <v>196</v>
      </c>
    </row>
    <row r="159" spans="1:16" x14ac:dyDescent="0.25">
      <c r="A159" t="s">
        <v>129</v>
      </c>
      <c r="B159" t="s">
        <v>130</v>
      </c>
      <c r="C159">
        <v>38.200000000000003</v>
      </c>
      <c r="D159" t="s">
        <v>19</v>
      </c>
      <c r="E159" t="str">
        <f>CONCATENATE(J159,". ",N159)</f>
        <v>15. Staging</v>
      </c>
      <c r="F159">
        <v>75</v>
      </c>
      <c r="G159" t="b">
        <v>1</v>
      </c>
      <c r="H159">
        <v>197</v>
      </c>
      <c r="I159" s="193" t="s">
        <v>20</v>
      </c>
      <c r="J159" s="192">
        <v>15</v>
      </c>
      <c r="K159" s="188">
        <f>IFERROR(_xlfn.XLOOKUP(A159,[1]Fleet!A:A,[1]Fleet!E:E,""),"")</f>
        <v>23</v>
      </c>
      <c r="L159" s="188">
        <v>35.700000000000003</v>
      </c>
      <c r="M159" s="188" t="s">
        <v>87</v>
      </c>
      <c r="N159" s="188" t="s">
        <v>113</v>
      </c>
      <c r="O159">
        <v>173</v>
      </c>
      <c r="P159">
        <f>_xlfn.XLOOKUP(A159,'[1]Classic Net to delete'!D:D,'[1]Classic Net to delete'!AA:AA,0)</f>
        <v>197</v>
      </c>
    </row>
    <row r="160" spans="1:16" x14ac:dyDescent="0.25">
      <c r="A160" t="s">
        <v>131</v>
      </c>
      <c r="B160" t="s">
        <v>132</v>
      </c>
      <c r="C160">
        <v>43.87</v>
      </c>
      <c r="D160" t="s">
        <v>19</v>
      </c>
      <c r="E160" t="str">
        <f>CONCATENATE(J160,". ",N160)</f>
        <v>15. Staging</v>
      </c>
      <c r="F160">
        <v>75</v>
      </c>
      <c r="G160" t="b">
        <v>1</v>
      </c>
      <c r="H160">
        <v>200</v>
      </c>
      <c r="I160" s="193" t="s">
        <v>20</v>
      </c>
      <c r="J160" s="192">
        <v>15</v>
      </c>
      <c r="K160" s="188">
        <f>IFERROR(_xlfn.XLOOKUP(A160,[1]Fleet!A:A,[1]Fleet!E:E,""),"")</f>
        <v>3</v>
      </c>
      <c r="L160" s="188">
        <v>41</v>
      </c>
      <c r="M160" s="188" t="s">
        <v>119</v>
      </c>
      <c r="N160" s="188" t="s">
        <v>113</v>
      </c>
      <c r="O160">
        <v>174</v>
      </c>
      <c r="P160">
        <f>_xlfn.XLOOKUP(A160,'[1]Classic Net to delete'!D:D,'[1]Classic Net to delete'!AA:AA,0)</f>
        <v>200</v>
      </c>
    </row>
    <row r="161" spans="1:16" x14ac:dyDescent="0.25">
      <c r="A161" t="s">
        <v>133</v>
      </c>
      <c r="B161" t="s">
        <v>134</v>
      </c>
      <c r="C161">
        <v>48.26</v>
      </c>
      <c r="D161" t="s">
        <v>19</v>
      </c>
      <c r="E161" t="str">
        <f>CONCATENATE(J161,". ",N161)</f>
        <v>15. Staging</v>
      </c>
      <c r="F161">
        <v>75</v>
      </c>
      <c r="G161" t="b">
        <v>1</v>
      </c>
      <c r="H161">
        <v>201</v>
      </c>
      <c r="I161" s="193" t="s">
        <v>20</v>
      </c>
      <c r="J161" s="192">
        <v>15</v>
      </c>
      <c r="K161" s="188">
        <f>IFERROR(_xlfn.XLOOKUP(A161,[1]Fleet!A:A,[1]Fleet!E:E,""),"")</f>
        <v>3</v>
      </c>
      <c r="L161" s="188">
        <v>45.1</v>
      </c>
      <c r="M161" s="188" t="s">
        <v>122</v>
      </c>
      <c r="N161" s="188" t="s">
        <v>113</v>
      </c>
      <c r="O161">
        <v>176</v>
      </c>
      <c r="P161">
        <f>_xlfn.XLOOKUP(A161,'[1]Classic Net to delete'!D:D,'[1]Classic Net to delete'!AA:AA,0)</f>
        <v>201</v>
      </c>
    </row>
    <row r="162" spans="1:16" x14ac:dyDescent="0.25">
      <c r="A162" t="s">
        <v>135</v>
      </c>
      <c r="B162" t="s">
        <v>136</v>
      </c>
      <c r="C162">
        <v>55.21</v>
      </c>
      <c r="D162" t="s">
        <v>19</v>
      </c>
      <c r="E162" t="str">
        <f>CONCATENATE(J162,". ",N162)</f>
        <v>15. Staging</v>
      </c>
      <c r="F162">
        <v>75</v>
      </c>
      <c r="G162" t="b">
        <v>1</v>
      </c>
      <c r="H162">
        <v>202</v>
      </c>
      <c r="I162" s="193" t="s">
        <v>20</v>
      </c>
      <c r="J162" s="192">
        <v>15</v>
      </c>
      <c r="K162" s="188">
        <f>IFERROR(_xlfn.XLOOKUP(A162,[1]Fleet!A:A,[1]Fleet!E:E,""),"")</f>
        <v>1</v>
      </c>
      <c r="L162" s="188">
        <v>51.6</v>
      </c>
      <c r="M162" s="188" t="s">
        <v>128</v>
      </c>
      <c r="N162" s="188" t="s">
        <v>113</v>
      </c>
      <c r="O162">
        <v>177</v>
      </c>
      <c r="P162">
        <f>_xlfn.XLOOKUP(A162,'[1]Classic Net to delete'!D:D,'[1]Classic Net to delete'!AA:AA,0)</f>
        <v>202</v>
      </c>
    </row>
    <row r="163" spans="1:16" x14ac:dyDescent="0.25">
      <c r="A163" t="s">
        <v>137</v>
      </c>
      <c r="B163" t="s">
        <v>138</v>
      </c>
      <c r="C163">
        <v>59.33</v>
      </c>
      <c r="D163" t="s">
        <v>19</v>
      </c>
      <c r="E163" t="str">
        <f>CONCATENATE(J163,". ",N163)</f>
        <v>15. Staging</v>
      </c>
      <c r="F163">
        <v>75</v>
      </c>
      <c r="G163" t="b">
        <v>1</v>
      </c>
      <c r="H163">
        <v>203</v>
      </c>
      <c r="I163" s="193" t="s">
        <v>20</v>
      </c>
      <c r="J163" s="192">
        <v>15</v>
      </c>
      <c r="K163" s="188">
        <f>IFERROR(_xlfn.XLOOKUP(A163,[1]Fleet!A:A,[1]Fleet!E:E,""),"")</f>
        <v>1</v>
      </c>
      <c r="L163" s="188">
        <v>55.45</v>
      </c>
      <c r="M163" s="188" t="s">
        <v>87</v>
      </c>
      <c r="N163" s="188" t="s">
        <v>113</v>
      </c>
      <c r="O163">
        <v>175</v>
      </c>
      <c r="P163">
        <f>_xlfn.XLOOKUP(A163,'[1]Classic Net to delete'!D:D,'[1]Classic Net to delete'!AA:AA,0)</f>
        <v>203</v>
      </c>
    </row>
    <row r="164" spans="1:16" x14ac:dyDescent="0.25">
      <c r="A164" t="s">
        <v>1859</v>
      </c>
      <c r="B164" t="s">
        <v>1860</v>
      </c>
      <c r="C164">
        <v>14.71</v>
      </c>
      <c r="D164" t="s">
        <v>19</v>
      </c>
      <c r="E164" t="str">
        <f>CONCATENATE(J164,". ",N164)</f>
        <v>15. Staging</v>
      </c>
      <c r="F164">
        <v>75</v>
      </c>
      <c r="G164" t="b">
        <v>1</v>
      </c>
      <c r="H164">
        <v>206</v>
      </c>
      <c r="I164" s="193" t="s">
        <v>20</v>
      </c>
      <c r="J164" s="192">
        <v>15</v>
      </c>
      <c r="K164" s="188" t="str">
        <f>IFERROR(_xlfn.XLOOKUP(A164,[1]Fleet!A:A,[1]Fleet!E:E,""),"")</f>
        <v/>
      </c>
      <c r="L164" s="188">
        <v>13.75</v>
      </c>
      <c r="M164" s="188" t="s">
        <v>1860</v>
      </c>
      <c r="N164" s="188" t="s">
        <v>113</v>
      </c>
      <c r="O164">
        <v>148</v>
      </c>
      <c r="P164">
        <f>_xlfn.XLOOKUP(A164,'[1]Classic Net to delete'!D:D,'[1]Classic Net to delete'!AA:AA,0)</f>
        <v>206</v>
      </c>
    </row>
    <row r="165" spans="1:16" x14ac:dyDescent="0.25">
      <c r="A165" t="s">
        <v>1863</v>
      </c>
      <c r="B165" t="s">
        <v>1864</v>
      </c>
      <c r="C165">
        <v>18.350000000000001</v>
      </c>
      <c r="D165" t="s">
        <v>19</v>
      </c>
      <c r="E165" t="str">
        <f>CONCATENATE(J165,". ",N165)</f>
        <v>15. Staging</v>
      </c>
      <c r="F165">
        <v>75</v>
      </c>
      <c r="G165" t="b">
        <v>1</v>
      </c>
      <c r="H165">
        <v>207</v>
      </c>
      <c r="I165" s="193" t="s">
        <v>20</v>
      </c>
      <c r="J165" s="192">
        <v>15</v>
      </c>
      <c r="K165" s="188" t="str">
        <f>IFERROR(_xlfn.XLOOKUP(A165,[1]Fleet!A:A,[1]Fleet!E:E,""),"")</f>
        <v/>
      </c>
      <c r="L165" s="188">
        <v>17.150000000000002</v>
      </c>
      <c r="M165" s="188" t="s">
        <v>1864</v>
      </c>
      <c r="N165" s="188" t="s">
        <v>113</v>
      </c>
      <c r="O165">
        <v>146</v>
      </c>
      <c r="P165">
        <f>_xlfn.XLOOKUP(A165,'[1]Classic Net to delete'!D:D,'[1]Classic Net to delete'!AA:AA,0)</f>
        <v>207</v>
      </c>
    </row>
    <row r="166" spans="1:16" x14ac:dyDescent="0.25">
      <c r="A166" t="s">
        <v>1865</v>
      </c>
      <c r="B166" t="s">
        <v>1866</v>
      </c>
      <c r="C166">
        <v>21.67</v>
      </c>
      <c r="D166" t="s">
        <v>19</v>
      </c>
      <c r="E166" t="str">
        <f>CONCATENATE(J166,". ",N166)</f>
        <v>15. Staging</v>
      </c>
      <c r="F166">
        <v>75</v>
      </c>
      <c r="G166" t="b">
        <v>1</v>
      </c>
      <c r="H166">
        <v>208</v>
      </c>
      <c r="I166" s="193" t="s">
        <v>20</v>
      </c>
      <c r="J166" s="192">
        <v>15</v>
      </c>
      <c r="K166" s="188" t="str">
        <f>IFERROR(_xlfn.XLOOKUP(A166,[1]Fleet!A:A,[1]Fleet!E:E,""),"")</f>
        <v/>
      </c>
      <c r="L166" s="188">
        <v>20.25</v>
      </c>
      <c r="M166" s="188" t="s">
        <v>1866</v>
      </c>
      <c r="N166" s="188" t="s">
        <v>113</v>
      </c>
      <c r="O166">
        <v>145</v>
      </c>
      <c r="P166">
        <f>_xlfn.XLOOKUP(A166,'[1]Classic Net to delete'!D:D,'[1]Classic Net to delete'!AA:AA,0)</f>
        <v>208</v>
      </c>
    </row>
    <row r="167" spans="1:16" x14ac:dyDescent="0.25">
      <c r="A167" t="s">
        <v>1871</v>
      </c>
      <c r="B167" t="s">
        <v>1872</v>
      </c>
      <c r="C167">
        <v>25.310000000000002</v>
      </c>
      <c r="D167" t="s">
        <v>19</v>
      </c>
      <c r="E167" t="str">
        <f>CONCATENATE(J167,". ",N167)</f>
        <v>15. Staging</v>
      </c>
      <c r="F167">
        <v>75</v>
      </c>
      <c r="G167" t="b">
        <v>1</v>
      </c>
      <c r="H167">
        <v>209</v>
      </c>
      <c r="I167" s="193" t="s">
        <v>20</v>
      </c>
      <c r="J167" s="192">
        <v>15</v>
      </c>
      <c r="K167" s="188" t="str">
        <f>IFERROR(_xlfn.XLOOKUP(A167,[1]Fleet!A:A,[1]Fleet!E:E,""),"")</f>
        <v/>
      </c>
      <c r="L167" s="188">
        <v>23.650000000000002</v>
      </c>
      <c r="M167" s="188" t="s">
        <v>1872</v>
      </c>
      <c r="N167" s="188" t="s">
        <v>113</v>
      </c>
      <c r="O167">
        <v>142</v>
      </c>
      <c r="P167">
        <f>_xlfn.XLOOKUP(A167,'[1]Classic Net to delete'!D:D,'[1]Classic Net to delete'!AA:AA,0)</f>
        <v>209</v>
      </c>
    </row>
    <row r="168" spans="1:16" x14ac:dyDescent="0.25">
      <c r="A168" t="s">
        <v>1875</v>
      </c>
      <c r="B168" t="s">
        <v>1876</v>
      </c>
      <c r="C168">
        <v>29.05</v>
      </c>
      <c r="D168" t="s">
        <v>19</v>
      </c>
      <c r="E168" t="str">
        <f>CONCATENATE(J168,". ",N168)</f>
        <v>15. Staging</v>
      </c>
      <c r="F168">
        <v>75</v>
      </c>
      <c r="G168" t="b">
        <v>1</v>
      </c>
      <c r="H168">
        <v>210</v>
      </c>
      <c r="I168" s="193" t="s">
        <v>20</v>
      </c>
      <c r="J168" s="192">
        <v>15</v>
      </c>
      <c r="K168" s="188" t="str">
        <f>IFERROR(_xlfn.XLOOKUP(A168,[1]Fleet!A:A,[1]Fleet!E:E,""),"")</f>
        <v/>
      </c>
      <c r="L168" s="188">
        <v>27.150000000000002</v>
      </c>
      <c r="M168" s="188" t="s">
        <v>1876</v>
      </c>
      <c r="N168" s="188" t="s">
        <v>113</v>
      </c>
      <c r="O168">
        <v>140</v>
      </c>
      <c r="P168">
        <f>_xlfn.XLOOKUP(A168,'[1]Classic Net to delete'!D:D,'[1]Classic Net to delete'!AA:AA,0)</f>
        <v>210</v>
      </c>
    </row>
    <row r="169" spans="1:16" x14ac:dyDescent="0.25">
      <c r="A169" t="s">
        <v>1879</v>
      </c>
      <c r="B169" t="s">
        <v>1880</v>
      </c>
      <c r="C169">
        <v>32.69</v>
      </c>
      <c r="D169" t="s">
        <v>19</v>
      </c>
      <c r="E169" t="str">
        <f>CONCATENATE(J169,". ",N169)</f>
        <v>15. Staging</v>
      </c>
      <c r="F169">
        <v>75</v>
      </c>
      <c r="G169" t="b">
        <v>1</v>
      </c>
      <c r="H169">
        <v>211</v>
      </c>
      <c r="I169" s="193" t="s">
        <v>20</v>
      </c>
      <c r="J169" s="192">
        <v>15</v>
      </c>
      <c r="K169" s="188" t="str">
        <f>IFERROR(_xlfn.XLOOKUP(A169,[1]Fleet!A:A,[1]Fleet!E:E,""),"")</f>
        <v/>
      </c>
      <c r="L169" s="188">
        <v>30.55</v>
      </c>
      <c r="M169" s="188" t="s">
        <v>1880</v>
      </c>
      <c r="N169" s="188" t="s">
        <v>113</v>
      </c>
      <c r="O169">
        <v>138</v>
      </c>
      <c r="P169">
        <f>_xlfn.XLOOKUP(A169,'[1]Classic Net to delete'!D:D,'[1]Classic Net to delete'!AA:AA,0)</f>
        <v>211</v>
      </c>
    </row>
    <row r="170" spans="1:16" x14ac:dyDescent="0.25">
      <c r="A170" t="s">
        <v>1883</v>
      </c>
      <c r="B170" t="s">
        <v>1884</v>
      </c>
      <c r="C170">
        <v>36.33</v>
      </c>
      <c r="D170" t="s">
        <v>19</v>
      </c>
      <c r="E170" t="str">
        <f>CONCATENATE(J170,". ",N170)</f>
        <v>15. Staging</v>
      </c>
      <c r="F170">
        <v>75</v>
      </c>
      <c r="G170" t="b">
        <v>1</v>
      </c>
      <c r="H170">
        <v>212</v>
      </c>
      <c r="I170" s="193" t="s">
        <v>20</v>
      </c>
      <c r="J170" s="192">
        <v>15</v>
      </c>
      <c r="K170" s="188" t="str">
        <f>IFERROR(_xlfn.XLOOKUP(A170,[1]Fleet!A:A,[1]Fleet!E:E,""),"")</f>
        <v/>
      </c>
      <c r="L170" s="188">
        <v>33.950000000000003</v>
      </c>
      <c r="M170" s="188" t="s">
        <v>1884</v>
      </c>
      <c r="N170" s="188" t="s">
        <v>113</v>
      </c>
      <c r="O170">
        <v>136</v>
      </c>
      <c r="P170">
        <f>_xlfn.XLOOKUP(A170,'[1]Classic Net to delete'!D:D,'[1]Classic Net to delete'!AA:AA,0)</f>
        <v>212</v>
      </c>
    </row>
    <row r="171" spans="1:16" x14ac:dyDescent="0.25">
      <c r="A171" t="s">
        <v>1861</v>
      </c>
      <c r="B171" t="s">
        <v>1862</v>
      </c>
      <c r="C171">
        <v>25.68</v>
      </c>
      <c r="D171" t="s">
        <v>19</v>
      </c>
      <c r="E171" t="str">
        <f>CONCATENATE(J171,". ",N171)</f>
        <v>15. Staging</v>
      </c>
      <c r="F171">
        <v>75</v>
      </c>
      <c r="G171" t="b">
        <v>1</v>
      </c>
      <c r="H171">
        <v>213</v>
      </c>
      <c r="I171" s="193" t="s">
        <v>20</v>
      </c>
      <c r="J171" s="192">
        <v>15</v>
      </c>
      <c r="K171" s="188" t="str">
        <f>IFERROR(_xlfn.XLOOKUP(A171,[1]Fleet!A:A,[1]Fleet!E:E,""),"")</f>
        <v/>
      </c>
      <c r="L171" s="188">
        <v>24</v>
      </c>
      <c r="M171" s="188" t="s">
        <v>1862</v>
      </c>
      <c r="N171" s="188" t="s">
        <v>113</v>
      </c>
      <c r="O171">
        <v>147</v>
      </c>
      <c r="P171">
        <f>_xlfn.XLOOKUP(A171,'[1]Classic Net to delete'!D:D,'[1]Classic Net to delete'!AA:AA,0)</f>
        <v>213</v>
      </c>
    </row>
    <row r="172" spans="1:16" x14ac:dyDescent="0.25">
      <c r="A172" t="s">
        <v>1867</v>
      </c>
      <c r="B172" t="s">
        <v>1868</v>
      </c>
      <c r="C172">
        <v>31.94</v>
      </c>
      <c r="D172" t="s">
        <v>19</v>
      </c>
      <c r="E172" t="str">
        <f>CONCATENATE(J172,". ",N172)</f>
        <v>15. Staging</v>
      </c>
      <c r="F172">
        <v>75</v>
      </c>
      <c r="G172" t="b">
        <v>1</v>
      </c>
      <c r="H172">
        <v>214</v>
      </c>
      <c r="I172" s="193" t="s">
        <v>20</v>
      </c>
      <c r="J172" s="192">
        <v>15</v>
      </c>
      <c r="K172" s="188" t="str">
        <f>IFERROR(_xlfn.XLOOKUP(A172,[1]Fleet!A:A,[1]Fleet!E:E,""),"")</f>
        <v/>
      </c>
      <c r="L172" s="188">
        <v>29.85</v>
      </c>
      <c r="M172" s="188" t="s">
        <v>1868</v>
      </c>
      <c r="N172" s="188" t="s">
        <v>113</v>
      </c>
      <c r="O172">
        <v>144</v>
      </c>
      <c r="P172">
        <f>_xlfn.XLOOKUP(A172,'[1]Classic Net to delete'!D:D,'[1]Classic Net to delete'!AA:AA,0)</f>
        <v>214</v>
      </c>
    </row>
    <row r="173" spans="1:16" x14ac:dyDescent="0.25">
      <c r="A173" t="s">
        <v>1869</v>
      </c>
      <c r="B173" t="s">
        <v>1870</v>
      </c>
      <c r="C173">
        <v>38.630000000000003</v>
      </c>
      <c r="D173" t="s">
        <v>19</v>
      </c>
      <c r="E173" t="str">
        <f>CONCATENATE(J173,". ",N173)</f>
        <v>15. Staging</v>
      </c>
      <c r="F173">
        <v>75</v>
      </c>
      <c r="G173" t="b">
        <v>1</v>
      </c>
      <c r="H173">
        <v>215</v>
      </c>
      <c r="I173" s="193" t="s">
        <v>20</v>
      </c>
      <c r="J173" s="192">
        <v>15</v>
      </c>
      <c r="K173" s="188" t="str">
        <f>IFERROR(_xlfn.XLOOKUP(A173,[1]Fleet!A:A,[1]Fleet!E:E,""),"")</f>
        <v/>
      </c>
      <c r="L173" s="188">
        <v>36.1</v>
      </c>
      <c r="M173" s="188" t="s">
        <v>1870</v>
      </c>
      <c r="N173" s="188" t="s">
        <v>113</v>
      </c>
      <c r="O173">
        <v>143</v>
      </c>
      <c r="P173">
        <f>_xlfn.XLOOKUP(A173,'[1]Classic Net to delete'!D:D,'[1]Classic Net to delete'!AA:AA,0)</f>
        <v>215</v>
      </c>
    </row>
    <row r="174" spans="1:16" x14ac:dyDescent="0.25">
      <c r="A174" t="s">
        <v>1873</v>
      </c>
      <c r="B174" t="s">
        <v>1874</v>
      </c>
      <c r="C174">
        <v>44.94</v>
      </c>
      <c r="D174" t="s">
        <v>19</v>
      </c>
      <c r="E174" t="str">
        <f>CONCATENATE(J174,". ",N174)</f>
        <v>15. Staging</v>
      </c>
      <c r="F174">
        <v>75</v>
      </c>
      <c r="G174" t="b">
        <v>1</v>
      </c>
      <c r="H174">
        <v>216</v>
      </c>
      <c r="I174" s="193" t="s">
        <v>20</v>
      </c>
      <c r="J174" s="192">
        <v>15</v>
      </c>
      <c r="K174" s="188" t="str">
        <f>IFERROR(_xlfn.XLOOKUP(A174,[1]Fleet!A:A,[1]Fleet!E:E,""),"")</f>
        <v/>
      </c>
      <c r="L174" s="188">
        <v>42</v>
      </c>
      <c r="M174" s="188" t="s">
        <v>1874</v>
      </c>
      <c r="N174" s="188" t="s">
        <v>113</v>
      </c>
      <c r="O174">
        <v>141</v>
      </c>
      <c r="P174">
        <f>_xlfn.XLOOKUP(A174,'[1]Classic Net to delete'!D:D,'[1]Classic Net to delete'!AA:AA,0)</f>
        <v>216</v>
      </c>
    </row>
    <row r="175" spans="1:16" x14ac:dyDescent="0.25">
      <c r="A175" t="s">
        <v>1877</v>
      </c>
      <c r="B175" t="s">
        <v>1878</v>
      </c>
      <c r="C175">
        <v>51.31</v>
      </c>
      <c r="D175" t="s">
        <v>19</v>
      </c>
      <c r="E175" t="str">
        <f>CONCATENATE(J175,". ",N175)</f>
        <v>15. Staging</v>
      </c>
      <c r="F175">
        <v>75</v>
      </c>
      <c r="G175" t="b">
        <v>1</v>
      </c>
      <c r="H175">
        <v>217</v>
      </c>
      <c r="I175" s="193" t="s">
        <v>20</v>
      </c>
      <c r="J175" s="192">
        <v>15</v>
      </c>
      <c r="K175" s="188" t="str">
        <f>IFERROR(_xlfn.XLOOKUP(A175,[1]Fleet!A:A,[1]Fleet!E:E,""),"")</f>
        <v/>
      </c>
      <c r="L175" s="188">
        <v>47.95</v>
      </c>
      <c r="M175" s="188" t="s">
        <v>1878</v>
      </c>
      <c r="N175" s="188" t="s">
        <v>113</v>
      </c>
      <c r="O175">
        <v>139</v>
      </c>
      <c r="P175">
        <f>_xlfn.XLOOKUP(A175,'[1]Classic Net to delete'!D:D,'[1]Classic Net to delete'!AA:AA,0)</f>
        <v>217</v>
      </c>
    </row>
    <row r="176" spans="1:16" x14ac:dyDescent="0.25">
      <c r="A176" t="s">
        <v>1881</v>
      </c>
      <c r="B176" t="s">
        <v>1882</v>
      </c>
      <c r="C176">
        <v>57.57</v>
      </c>
      <c r="D176" t="s">
        <v>19</v>
      </c>
      <c r="E176" t="str">
        <f>CONCATENATE(J176,". ",N176)</f>
        <v>15. Staging</v>
      </c>
      <c r="F176">
        <v>75</v>
      </c>
      <c r="G176" t="b">
        <v>1</v>
      </c>
      <c r="H176">
        <v>218</v>
      </c>
      <c r="I176" s="193" t="s">
        <v>20</v>
      </c>
      <c r="J176" s="192">
        <v>15</v>
      </c>
      <c r="K176" s="188" t="str">
        <f>IFERROR(_xlfn.XLOOKUP(A176,[1]Fleet!A:A,[1]Fleet!E:E,""),"")</f>
        <v/>
      </c>
      <c r="L176" s="188">
        <v>53.800000000000004</v>
      </c>
      <c r="M176" s="188" t="s">
        <v>1882</v>
      </c>
      <c r="N176" s="188" t="s">
        <v>113</v>
      </c>
      <c r="O176">
        <v>137</v>
      </c>
      <c r="P176">
        <f>_xlfn.XLOOKUP(A176,'[1]Classic Net to delete'!D:D,'[1]Classic Net to delete'!AA:AA,0)</f>
        <v>218</v>
      </c>
    </row>
    <row r="177" spans="1:17" x14ac:dyDescent="0.25">
      <c r="A177" t="s">
        <v>1885</v>
      </c>
      <c r="B177" t="s">
        <v>1886</v>
      </c>
      <c r="C177">
        <v>64.25</v>
      </c>
      <c r="D177" t="s">
        <v>19</v>
      </c>
      <c r="E177" t="str">
        <f>CONCATENATE(J177,". ",N177)</f>
        <v>15. Staging</v>
      </c>
      <c r="F177">
        <v>75</v>
      </c>
      <c r="G177" t="b">
        <v>1</v>
      </c>
      <c r="H177">
        <v>219</v>
      </c>
      <c r="I177" s="193" t="s">
        <v>20</v>
      </c>
      <c r="J177" s="192">
        <v>15</v>
      </c>
      <c r="K177" s="188" t="str">
        <f>IFERROR(_xlfn.XLOOKUP(A177,[1]Fleet!A:A,[1]Fleet!E:E,""),"")</f>
        <v/>
      </c>
      <c r="L177" s="188">
        <v>60.050000000000004</v>
      </c>
      <c r="M177" s="188" t="s">
        <v>1886</v>
      </c>
      <c r="N177" s="188" t="s">
        <v>113</v>
      </c>
      <c r="O177">
        <v>135</v>
      </c>
      <c r="P177">
        <f>_xlfn.XLOOKUP(A177,'[1]Classic Net to delete'!D:D,'[1]Classic Net to delete'!AA:AA,0)</f>
        <v>219</v>
      </c>
    </row>
    <row r="178" spans="1:17" x14ac:dyDescent="0.25">
      <c r="A178" t="s">
        <v>349</v>
      </c>
      <c r="B178" t="s">
        <v>350</v>
      </c>
      <c r="C178">
        <v>235.29</v>
      </c>
      <c r="D178" t="s">
        <v>302</v>
      </c>
      <c r="E178" t="str">
        <f>CONCATENATE(J178,". ",N178)</f>
        <v>01. Compressors</v>
      </c>
      <c r="F178">
        <v>75</v>
      </c>
      <c r="G178" t="b">
        <v>1</v>
      </c>
      <c r="H178">
        <v>222</v>
      </c>
      <c r="J178" s="193" t="s">
        <v>20</v>
      </c>
      <c r="K178" s="188">
        <f>IFERROR(_xlfn.XLOOKUP(A178,[1]Fleet!A:A,[1]Fleet!E:E,""),"")</f>
        <v>23</v>
      </c>
      <c r="L178" s="188">
        <v>219.9</v>
      </c>
      <c r="M178" s="188" t="s">
        <v>351</v>
      </c>
      <c r="N178" s="188" t="s">
        <v>352</v>
      </c>
      <c r="O178">
        <v>196</v>
      </c>
      <c r="P178">
        <f>_xlfn.XLOOKUP(A178,'[1]Classic Net to delete'!D:D,'[1]Classic Net to delete'!AA:AA,0)</f>
        <v>222</v>
      </c>
      <c r="Q178" t="s">
        <v>269</v>
      </c>
    </row>
    <row r="179" spans="1:17" x14ac:dyDescent="0.25">
      <c r="A179" t="s">
        <v>353</v>
      </c>
      <c r="B179" t="s">
        <v>354</v>
      </c>
      <c r="C179">
        <v>334.8</v>
      </c>
      <c r="D179" t="s">
        <v>302</v>
      </c>
      <c r="E179" t="str">
        <f>CONCATENATE(J179,". ",N179)</f>
        <v>01. Compressors</v>
      </c>
      <c r="F179">
        <v>75</v>
      </c>
      <c r="G179" t="b">
        <v>1</v>
      </c>
      <c r="H179">
        <v>223</v>
      </c>
      <c r="J179" s="193" t="s">
        <v>20</v>
      </c>
      <c r="K179" s="188">
        <f>IFERROR(_xlfn.XLOOKUP(A179,[1]Fleet!A:A,[1]Fleet!E:E,""),"")</f>
        <v>23</v>
      </c>
      <c r="L179" s="188">
        <v>312.90000000000003</v>
      </c>
      <c r="M179" s="188" t="s">
        <v>354</v>
      </c>
      <c r="N179" s="188" t="s">
        <v>352</v>
      </c>
      <c r="O179">
        <v>198</v>
      </c>
      <c r="P179">
        <f>_xlfn.XLOOKUP(A179,'[1]Classic Net to delete'!D:D,'[1]Classic Net to delete'!AA:AA,0)</f>
        <v>223</v>
      </c>
      <c r="Q179" t="s">
        <v>259</v>
      </c>
    </row>
    <row r="180" spans="1:17" x14ac:dyDescent="0.25">
      <c r="A180" t="s">
        <v>357</v>
      </c>
      <c r="B180" t="s">
        <v>358</v>
      </c>
      <c r="C180">
        <v>11.34</v>
      </c>
      <c r="D180" t="s">
        <v>302</v>
      </c>
      <c r="E180" t="str">
        <f>CONCATENATE(J180,". ",N180)</f>
        <v>01. Compressors</v>
      </c>
      <c r="F180">
        <v>75</v>
      </c>
      <c r="G180" t="b">
        <v>1</v>
      </c>
      <c r="H180">
        <v>224</v>
      </c>
      <c r="J180" s="193" t="s">
        <v>20</v>
      </c>
      <c r="K180" s="188">
        <f>IFERROR(_xlfn.XLOOKUP(A180,[1]Fleet!A:A,[1]Fleet!E:E,""),"")</f>
        <v>3</v>
      </c>
      <c r="L180" s="188">
        <v>10.600000000000001</v>
      </c>
      <c r="M180" s="188" t="s">
        <v>359</v>
      </c>
      <c r="N180" s="188" t="s">
        <v>352</v>
      </c>
      <c r="O180">
        <v>201</v>
      </c>
      <c r="P180">
        <f>_xlfn.XLOOKUP(A180,'[1]Classic Net to delete'!D:D,'[1]Classic Net to delete'!AA:AA,0)</f>
        <v>224</v>
      </c>
      <c r="Q180" t="s">
        <v>194</v>
      </c>
    </row>
    <row r="181" spans="1:17" x14ac:dyDescent="0.25">
      <c r="A181" t="s">
        <v>355</v>
      </c>
      <c r="B181" t="s">
        <v>356</v>
      </c>
      <c r="C181">
        <v>96.570000000000007</v>
      </c>
      <c r="D181" t="s">
        <v>302</v>
      </c>
      <c r="E181" t="str">
        <f>CONCATENATE(J181,". ",N181)</f>
        <v>01. Compressors</v>
      </c>
      <c r="F181">
        <v>75</v>
      </c>
      <c r="G181" t="b">
        <v>1</v>
      </c>
      <c r="H181">
        <v>250</v>
      </c>
      <c r="J181" s="193" t="s">
        <v>20</v>
      </c>
      <c r="K181" s="188">
        <f>IFERROR(_xlfn.XLOOKUP(A181,[1]Fleet!A:A,[1]Fleet!E:E,""),"")</f>
        <v>4</v>
      </c>
      <c r="L181" s="188">
        <v>90.25</v>
      </c>
      <c r="M181" s="188" t="s">
        <v>356</v>
      </c>
      <c r="N181" s="188" t="s">
        <v>352</v>
      </c>
      <c r="O181">
        <v>197</v>
      </c>
      <c r="P181">
        <f>_xlfn.XLOOKUP(A181,'[1]Classic Net to delete'!D:D,'[1]Classic Net to delete'!AA:AA,0)</f>
        <v>250</v>
      </c>
      <c r="Q181" t="s">
        <v>201</v>
      </c>
    </row>
    <row r="182" spans="1:17" x14ac:dyDescent="0.25">
      <c r="A182" t="s">
        <v>1887</v>
      </c>
      <c r="B182" t="s">
        <v>1888</v>
      </c>
      <c r="C182">
        <v>9.7900000000000009</v>
      </c>
      <c r="D182" t="s">
        <v>302</v>
      </c>
      <c r="E182" t="str">
        <f>CONCATENATE(J182,". ",N182)</f>
        <v>01. Compressors</v>
      </c>
      <c r="F182">
        <v>75</v>
      </c>
      <c r="G182" t="b">
        <v>1</v>
      </c>
      <c r="H182">
        <v>257</v>
      </c>
      <c r="J182" s="193" t="s">
        <v>20</v>
      </c>
      <c r="K182" s="188" t="str">
        <f>IFERROR(_xlfn.XLOOKUP(A182,[1]Fleet!A:A,[1]Fleet!E:E,""),"")</f>
        <v/>
      </c>
      <c r="L182" s="188">
        <v>9.15</v>
      </c>
      <c r="M182" s="188" t="s">
        <v>1889</v>
      </c>
      <c r="N182" s="188" t="s">
        <v>352</v>
      </c>
      <c r="O182">
        <v>200</v>
      </c>
      <c r="P182">
        <f>_xlfn.XLOOKUP(A182,'[1]Classic Net to delete'!D:D,'[1]Classic Net to delete'!AA:AA,0)</f>
        <v>257</v>
      </c>
      <c r="Q182" t="s">
        <v>234</v>
      </c>
    </row>
    <row r="183" spans="1:17" x14ac:dyDescent="0.25">
      <c r="A183" t="s">
        <v>1890</v>
      </c>
      <c r="B183" t="s">
        <v>1891</v>
      </c>
      <c r="C183">
        <v>15.46</v>
      </c>
      <c r="D183" t="s">
        <v>302</v>
      </c>
      <c r="E183" t="str">
        <f>CONCATENATE(J183,". ",N183)</f>
        <v>01. Compressors</v>
      </c>
      <c r="F183">
        <v>75</v>
      </c>
      <c r="G183" t="b">
        <v>1</v>
      </c>
      <c r="H183">
        <v>258</v>
      </c>
      <c r="J183" s="193" t="s">
        <v>20</v>
      </c>
      <c r="K183" s="188" t="str">
        <f>IFERROR(_xlfn.XLOOKUP(A183,[1]Fleet!A:A,[1]Fleet!E:E,""),"")</f>
        <v/>
      </c>
      <c r="L183" s="188">
        <v>14.450000000000001</v>
      </c>
      <c r="M183" s="188" t="s">
        <v>1891</v>
      </c>
      <c r="N183" s="188" t="s">
        <v>352</v>
      </c>
      <c r="O183">
        <v>199</v>
      </c>
      <c r="P183">
        <f>_xlfn.XLOOKUP(A183,'[1]Classic Net to delete'!D:D,'[1]Classic Net to delete'!AA:AA,0)</f>
        <v>258</v>
      </c>
      <c r="Q183">
        <v>10</v>
      </c>
    </row>
    <row r="184" spans="1:17" x14ac:dyDescent="0.25">
      <c r="A184" t="s">
        <v>308</v>
      </c>
      <c r="B184" t="s">
        <v>309</v>
      </c>
      <c r="C184">
        <v>56.76</v>
      </c>
      <c r="D184" t="s">
        <v>302</v>
      </c>
      <c r="E184" t="str">
        <f>CONCATENATE(J184,". ",N184)</f>
        <v>02. Picks, Breakers &amp; Drills</v>
      </c>
      <c r="F184">
        <v>75</v>
      </c>
      <c r="G184" t="b">
        <v>1</v>
      </c>
      <c r="H184" s="194">
        <v>227</v>
      </c>
      <c r="J184" s="193" t="s">
        <v>189</v>
      </c>
      <c r="K184" s="188">
        <f>IFERROR(_xlfn.XLOOKUP(A184,[1]Fleet!A:A,[1]Fleet!E:E,""),"")</f>
        <v>20</v>
      </c>
      <c r="L184" s="188">
        <v>53.050000000000004</v>
      </c>
      <c r="M184" s="188" t="s">
        <v>310</v>
      </c>
      <c r="N184" s="188" t="s">
        <v>311</v>
      </c>
      <c r="O184">
        <v>183</v>
      </c>
      <c r="P184">
        <f>_xlfn.XLOOKUP(A184,'[1]Classic Net to delete'!D:D,'[1]Classic Net to delete'!AA:AA,0)</f>
        <v>227</v>
      </c>
      <c r="Q184">
        <v>11</v>
      </c>
    </row>
    <row r="185" spans="1:17" x14ac:dyDescent="0.25">
      <c r="A185" t="s">
        <v>318</v>
      </c>
      <c r="B185" t="s">
        <v>319</v>
      </c>
      <c r="C185">
        <v>103.47</v>
      </c>
      <c r="D185" t="s">
        <v>302</v>
      </c>
      <c r="E185" t="str">
        <f>CONCATENATE(J185,". ",N185)</f>
        <v>02. Picks, Breakers &amp; Drills</v>
      </c>
      <c r="F185">
        <v>75</v>
      </c>
      <c r="G185" t="b">
        <v>1</v>
      </c>
      <c r="H185" s="194">
        <v>228</v>
      </c>
      <c r="J185" s="193" t="s">
        <v>189</v>
      </c>
      <c r="K185" s="188">
        <f>IFERROR(_xlfn.XLOOKUP(A185,[1]Fleet!A:A,[1]Fleet!E:E,""),"")</f>
        <v>49</v>
      </c>
      <c r="L185" s="188">
        <v>96.7</v>
      </c>
      <c r="M185" s="188" t="s">
        <v>320</v>
      </c>
      <c r="N185" s="188" t="s">
        <v>311</v>
      </c>
      <c r="O185">
        <v>182</v>
      </c>
      <c r="P185">
        <f>_xlfn.XLOOKUP(A185,'[1]Classic Net to delete'!D:D,'[1]Classic Net to delete'!AA:AA,0)</f>
        <v>228</v>
      </c>
      <c r="Q185">
        <v>12</v>
      </c>
    </row>
    <row r="186" spans="1:17" x14ac:dyDescent="0.25">
      <c r="A186" t="s">
        <v>321</v>
      </c>
      <c r="B186" t="s">
        <v>322</v>
      </c>
      <c r="C186">
        <v>65.97</v>
      </c>
      <c r="D186" t="s">
        <v>302</v>
      </c>
      <c r="E186" t="str">
        <f>CONCATENATE(J186,". ",N186)</f>
        <v>02. Picks, Breakers &amp; Drills</v>
      </c>
      <c r="F186">
        <v>75</v>
      </c>
      <c r="G186" t="b">
        <v>1</v>
      </c>
      <c r="H186" s="194">
        <v>229</v>
      </c>
      <c r="J186" s="193" t="s">
        <v>189</v>
      </c>
      <c r="K186" s="188">
        <f>IFERROR(_xlfn.XLOOKUP(A186,[1]Fleet!A:A,[1]Fleet!E:E,""),"")</f>
        <v>9</v>
      </c>
      <c r="L186" s="188">
        <v>61.650000000000006</v>
      </c>
      <c r="M186" s="188" t="s">
        <v>323</v>
      </c>
      <c r="N186" s="188" t="s">
        <v>311</v>
      </c>
      <c r="O186">
        <v>178</v>
      </c>
      <c r="P186">
        <f>_xlfn.XLOOKUP(A186,'[1]Classic Net to delete'!D:D,'[1]Classic Net to delete'!AA:AA,0)</f>
        <v>229</v>
      </c>
      <c r="Q186">
        <v>13</v>
      </c>
    </row>
    <row r="187" spans="1:17" x14ac:dyDescent="0.25">
      <c r="A187" t="s">
        <v>324</v>
      </c>
      <c r="B187" t="s">
        <v>325</v>
      </c>
      <c r="C187">
        <v>55.21</v>
      </c>
      <c r="D187" t="s">
        <v>302</v>
      </c>
      <c r="E187" t="str">
        <f>CONCATENATE(J187,". ",N187)</f>
        <v>02. Picks, Breakers &amp; Drills</v>
      </c>
      <c r="F187">
        <v>75</v>
      </c>
      <c r="G187" t="b">
        <v>1</v>
      </c>
      <c r="H187" s="194">
        <v>232</v>
      </c>
      <c r="J187" s="193" t="s">
        <v>189</v>
      </c>
      <c r="K187" s="188">
        <f>IFERROR(_xlfn.XLOOKUP(A187,[1]Fleet!A:A,[1]Fleet!E:E,""),"")</f>
        <v>7</v>
      </c>
      <c r="L187" s="188">
        <v>51.6</v>
      </c>
      <c r="M187" s="188" t="s">
        <v>326</v>
      </c>
      <c r="N187" s="188" t="s">
        <v>311</v>
      </c>
      <c r="O187">
        <v>180</v>
      </c>
      <c r="P187">
        <f>_xlfn.XLOOKUP(A187,'[1]Classic Net to delete'!D:D,'[1]Classic Net to delete'!AA:AA,0)</f>
        <v>232</v>
      </c>
      <c r="Q187">
        <v>14</v>
      </c>
    </row>
    <row r="188" spans="1:17" x14ac:dyDescent="0.25">
      <c r="A188" t="s">
        <v>327</v>
      </c>
      <c r="B188" t="s">
        <v>328</v>
      </c>
      <c r="C188">
        <v>55.21</v>
      </c>
      <c r="D188" t="s">
        <v>302</v>
      </c>
      <c r="E188" t="str">
        <f>CONCATENATE(J188,". ",N188)</f>
        <v>03. Cleaning &amp; Clearing</v>
      </c>
      <c r="F188">
        <v>75</v>
      </c>
      <c r="G188" t="b">
        <v>1</v>
      </c>
      <c r="H188">
        <v>236</v>
      </c>
      <c r="J188" s="193" t="s">
        <v>188</v>
      </c>
      <c r="K188" s="188">
        <f>IFERROR(_xlfn.XLOOKUP(A188,[1]Fleet!A:A,[1]Fleet!E:E,""),"")</f>
        <v>8</v>
      </c>
      <c r="L188" s="188">
        <v>51.6</v>
      </c>
      <c r="M188" s="188" t="s">
        <v>328</v>
      </c>
      <c r="N188" s="188" t="s">
        <v>329</v>
      </c>
      <c r="O188">
        <v>190</v>
      </c>
      <c r="P188">
        <f>_xlfn.XLOOKUP(A188,'[1]Classic Net to delete'!D:D,'[1]Classic Net to delete'!AA:AA,0)</f>
        <v>236</v>
      </c>
      <c r="Q188">
        <v>15</v>
      </c>
    </row>
    <row r="189" spans="1:17" x14ac:dyDescent="0.25">
      <c r="A189" t="s">
        <v>364</v>
      </c>
      <c r="B189" t="s">
        <v>365</v>
      </c>
      <c r="C189">
        <v>19.900000000000002</v>
      </c>
      <c r="D189" t="s">
        <v>302</v>
      </c>
      <c r="E189" t="str">
        <f>CONCATENATE(J189,". ",N189)</f>
        <v>03. Cleaning &amp; Clearing</v>
      </c>
      <c r="F189">
        <v>75</v>
      </c>
      <c r="G189" t="b">
        <v>1</v>
      </c>
      <c r="H189">
        <v>237</v>
      </c>
      <c r="J189" s="193" t="s">
        <v>188</v>
      </c>
      <c r="K189" s="188">
        <f>IFERROR(_xlfn.XLOOKUP(A189,[1]Fleet!A:A,[1]Fleet!E:E,""),"")</f>
        <v>7</v>
      </c>
      <c r="L189" s="188">
        <v>18.600000000000001</v>
      </c>
      <c r="M189" s="188" t="s">
        <v>366</v>
      </c>
      <c r="N189" s="188" t="s">
        <v>329</v>
      </c>
      <c r="O189">
        <v>195</v>
      </c>
      <c r="P189">
        <f>_xlfn.XLOOKUP(A189,'[1]Classic Net to delete'!D:D,'[1]Classic Net to delete'!AA:AA,0)</f>
        <v>237</v>
      </c>
      <c r="Q189">
        <v>16</v>
      </c>
    </row>
    <row r="190" spans="1:17" x14ac:dyDescent="0.25">
      <c r="A190" t="s">
        <v>336</v>
      </c>
      <c r="B190" t="s">
        <v>337</v>
      </c>
      <c r="C190">
        <v>59.33</v>
      </c>
      <c r="D190" t="s">
        <v>302</v>
      </c>
      <c r="E190" t="str">
        <f>CONCATENATE(J190,". ",N190)</f>
        <v>04. Scrabblers</v>
      </c>
      <c r="F190">
        <v>75</v>
      </c>
      <c r="G190" t="b">
        <v>1</v>
      </c>
      <c r="H190">
        <v>240</v>
      </c>
      <c r="J190" s="193" t="s">
        <v>269</v>
      </c>
      <c r="K190" s="188">
        <f>IFERROR(_xlfn.XLOOKUP(A190,[1]Fleet!A:A,[1]Fleet!E:E,""),"")</f>
        <v>14</v>
      </c>
      <c r="L190" s="188">
        <v>55.45</v>
      </c>
      <c r="M190" s="188" t="s">
        <v>338</v>
      </c>
      <c r="N190" s="188" t="s">
        <v>3957</v>
      </c>
      <c r="O190">
        <v>187</v>
      </c>
      <c r="P190">
        <f>_xlfn.XLOOKUP(A190,'[1]Classic Net to delete'!D:D,'[1]Classic Net to delete'!AA:AA,0)</f>
        <v>240</v>
      </c>
      <c r="Q190">
        <v>17</v>
      </c>
    </row>
    <row r="191" spans="1:17" x14ac:dyDescent="0.25">
      <c r="A191" t="s">
        <v>339</v>
      </c>
      <c r="B191" t="s">
        <v>340</v>
      </c>
      <c r="C191">
        <v>70.989999999999995</v>
      </c>
      <c r="D191" t="s">
        <v>302</v>
      </c>
      <c r="E191" t="str">
        <f>CONCATENATE(J191,". ",N191)</f>
        <v>04. Scrabblers</v>
      </c>
      <c r="F191">
        <v>75</v>
      </c>
      <c r="G191" t="b">
        <v>1</v>
      </c>
      <c r="H191">
        <v>241</v>
      </c>
      <c r="J191" s="193" t="s">
        <v>269</v>
      </c>
      <c r="K191" s="188">
        <f>IFERROR(_xlfn.XLOOKUP(A191,[1]Fleet!A:A,[1]Fleet!E:E,""),"")</f>
        <v>27</v>
      </c>
      <c r="L191" s="188">
        <v>66.350000000000009</v>
      </c>
      <c r="M191" s="188" t="s">
        <v>341</v>
      </c>
      <c r="N191" s="188" t="s">
        <v>3957</v>
      </c>
      <c r="O191">
        <v>188</v>
      </c>
      <c r="P191">
        <f>_xlfn.XLOOKUP(A191,'[1]Classic Net to delete'!D:D,'[1]Classic Net to delete'!AA:AA,0)</f>
        <v>241</v>
      </c>
      <c r="Q191">
        <v>18</v>
      </c>
    </row>
    <row r="192" spans="1:17" x14ac:dyDescent="0.25">
      <c r="A192" t="s">
        <v>333</v>
      </c>
      <c r="B192" t="s">
        <v>334</v>
      </c>
      <c r="C192">
        <v>86.460000000000008</v>
      </c>
      <c r="D192" t="s">
        <v>302</v>
      </c>
      <c r="E192" t="str">
        <f>CONCATENATE(J192,". ",N192)</f>
        <v>04. Scrabblers</v>
      </c>
      <c r="F192">
        <v>75</v>
      </c>
      <c r="G192" t="b">
        <v>1</v>
      </c>
      <c r="H192">
        <v>242</v>
      </c>
      <c r="J192" s="193" t="s">
        <v>269</v>
      </c>
      <c r="K192" s="188">
        <f>IFERROR(_xlfn.XLOOKUP(A192,[1]Fleet!A:A,[1]Fleet!E:E,""),"")</f>
        <v>18</v>
      </c>
      <c r="L192" s="188">
        <v>80.800000000000011</v>
      </c>
      <c r="M192" s="188" t="s">
        <v>334</v>
      </c>
      <c r="N192" s="188" t="s">
        <v>3957</v>
      </c>
      <c r="O192">
        <v>186</v>
      </c>
      <c r="P192">
        <f>_xlfn.XLOOKUP(A192,'[1]Classic Net to delete'!D:D,'[1]Classic Net to delete'!AA:AA,0)</f>
        <v>242</v>
      </c>
      <c r="Q192">
        <v>19</v>
      </c>
    </row>
    <row r="193" spans="1:17" x14ac:dyDescent="0.25">
      <c r="A193" t="s">
        <v>342</v>
      </c>
      <c r="B193" t="s">
        <v>343</v>
      </c>
      <c r="C193">
        <v>377.92</v>
      </c>
      <c r="D193" t="s">
        <v>302</v>
      </c>
      <c r="E193" t="str">
        <f>CONCATENATE(J193,". ",N193)</f>
        <v>04. Scrabblers</v>
      </c>
      <c r="F193">
        <v>75</v>
      </c>
      <c r="G193" t="b">
        <v>1</v>
      </c>
      <c r="H193">
        <v>243</v>
      </c>
      <c r="J193" s="193" t="s">
        <v>269</v>
      </c>
      <c r="K193" s="188">
        <f>IFERROR(_xlfn.XLOOKUP(A193,[1]Fleet!A:A,[1]Fleet!E:E,""),"")</f>
        <v>4</v>
      </c>
      <c r="L193" s="188">
        <v>353.20000000000005</v>
      </c>
      <c r="M193" s="188" t="s">
        <v>344</v>
      </c>
      <c r="N193" s="188" t="s">
        <v>3957</v>
      </c>
      <c r="O193">
        <v>189</v>
      </c>
      <c r="P193">
        <f>_xlfn.XLOOKUP(A193,'[1]Classic Net to delete'!D:D,'[1]Classic Net to delete'!AA:AA,0)</f>
        <v>243</v>
      </c>
      <c r="Q193">
        <v>20</v>
      </c>
    </row>
    <row r="194" spans="1:17" x14ac:dyDescent="0.25">
      <c r="A194" t="s">
        <v>300</v>
      </c>
      <c r="B194" t="s">
        <v>301</v>
      </c>
      <c r="C194">
        <v>0</v>
      </c>
      <c r="D194" t="s">
        <v>302</v>
      </c>
      <c r="E194" t="str">
        <f>CONCATENATE(J194,". ",N194)</f>
        <v>05. Pokers</v>
      </c>
      <c r="F194">
        <v>75</v>
      </c>
      <c r="G194" t="b">
        <v>0</v>
      </c>
      <c r="H194" s="194">
        <v>246</v>
      </c>
      <c r="J194" s="193" t="s">
        <v>263</v>
      </c>
      <c r="K194" s="188">
        <f>IFERROR(_xlfn.XLOOKUP(A194,[1]Fleet!A:A,[1]Fleet!E:E,""),"")</f>
        <v>0</v>
      </c>
      <c r="L194" s="188">
        <v>54.300000000000004</v>
      </c>
      <c r="M194" s="188" t="s">
        <v>303</v>
      </c>
      <c r="N194" s="188" t="s">
        <v>304</v>
      </c>
      <c r="O194">
        <v>185</v>
      </c>
      <c r="P194">
        <f>_xlfn.XLOOKUP(A194,'[1]Classic Net to delete'!D:D,'[1]Classic Net to delete'!AA:AA,0)</f>
        <v>246</v>
      </c>
      <c r="Q194">
        <v>21</v>
      </c>
    </row>
    <row r="195" spans="1:17" x14ac:dyDescent="0.25">
      <c r="A195" t="s">
        <v>305</v>
      </c>
      <c r="B195" t="s">
        <v>306</v>
      </c>
      <c r="C195">
        <v>62.49</v>
      </c>
      <c r="D195" t="s">
        <v>302</v>
      </c>
      <c r="E195" t="str">
        <f>CONCATENATE(J195,". ",N195)</f>
        <v>05. Pokers</v>
      </c>
      <c r="F195">
        <v>75</v>
      </c>
      <c r="G195" t="b">
        <v>1</v>
      </c>
      <c r="H195" s="194">
        <v>247</v>
      </c>
      <c r="J195" s="193" t="s">
        <v>263</v>
      </c>
      <c r="K195" s="188">
        <f>IFERROR(_xlfn.XLOOKUP(A195,[1]Fleet!A:A,[1]Fleet!E:E,""),"")</f>
        <v>2</v>
      </c>
      <c r="L195" s="188">
        <v>58.400000000000006</v>
      </c>
      <c r="M195" s="188" t="s">
        <v>307</v>
      </c>
      <c r="N195" s="188" t="s">
        <v>304</v>
      </c>
      <c r="O195">
        <v>184</v>
      </c>
      <c r="P195">
        <f>_xlfn.XLOOKUP(A195,'[1]Classic Net to delete'!D:D,'[1]Classic Net to delete'!AA:AA,0)</f>
        <v>247</v>
      </c>
      <c r="Q195">
        <v>22</v>
      </c>
    </row>
    <row r="196" spans="1:17" x14ac:dyDescent="0.25">
      <c r="A196" t="s">
        <v>330</v>
      </c>
      <c r="B196" t="s">
        <v>331</v>
      </c>
      <c r="C196">
        <v>59.97</v>
      </c>
      <c r="D196" t="s">
        <v>302</v>
      </c>
      <c r="E196" t="str">
        <f>CONCATENATE(J196,". ",N196)</f>
        <v>06. Tools</v>
      </c>
      <c r="F196">
        <v>75</v>
      </c>
      <c r="G196" t="b">
        <v>1</v>
      </c>
      <c r="H196">
        <v>253</v>
      </c>
      <c r="J196" s="193" t="s">
        <v>259</v>
      </c>
      <c r="K196" s="188">
        <f>IFERROR(_xlfn.XLOOKUP(A196,[1]Fleet!A:A,[1]Fleet!E:E,""),"")</f>
        <v>3</v>
      </c>
      <c r="L196" s="188">
        <v>56.050000000000004</v>
      </c>
      <c r="M196" s="188" t="s">
        <v>331</v>
      </c>
      <c r="N196" s="188" t="s">
        <v>332</v>
      </c>
      <c r="O196">
        <v>194</v>
      </c>
      <c r="P196">
        <f>_xlfn.XLOOKUP(A196,'[1]Classic Net to delete'!D:D,'[1]Classic Net to delete'!AA:AA,0)</f>
        <v>253</v>
      </c>
      <c r="Q196">
        <v>23</v>
      </c>
    </row>
    <row r="197" spans="1:17" x14ac:dyDescent="0.25">
      <c r="A197" t="s">
        <v>347</v>
      </c>
      <c r="B197" t="s">
        <v>348</v>
      </c>
      <c r="C197">
        <v>38.200000000000003</v>
      </c>
      <c r="D197" t="s">
        <v>302</v>
      </c>
      <c r="E197" t="str">
        <f>CONCATENATE(J197,". ",N197)</f>
        <v>06. Tools</v>
      </c>
      <c r="F197">
        <v>75</v>
      </c>
      <c r="G197" t="b">
        <v>1</v>
      </c>
      <c r="H197">
        <v>564</v>
      </c>
      <c r="J197" s="193" t="s">
        <v>259</v>
      </c>
      <c r="K197" s="188">
        <f>IFERROR(_xlfn.XLOOKUP(A197,[1]Fleet!A:A,[1]Fleet!E:E,""),"")</f>
        <v>1</v>
      </c>
      <c r="L197" s="188">
        <v>35.700000000000003</v>
      </c>
      <c r="M197" s="188" t="s">
        <v>348</v>
      </c>
      <c r="N197" s="188" t="s">
        <v>332</v>
      </c>
      <c r="O197">
        <v>192</v>
      </c>
      <c r="P197">
        <f>_xlfn.XLOOKUP(A197,'[1]Classic Net to delete'!D:D,'[1]Classic Net to delete'!AA:AA,0)</f>
        <v>564</v>
      </c>
      <c r="Q197">
        <v>25</v>
      </c>
    </row>
    <row r="198" spans="1:17" x14ac:dyDescent="0.25">
      <c r="A198" t="s">
        <v>345</v>
      </c>
      <c r="B198" t="s">
        <v>346</v>
      </c>
      <c r="C198">
        <v>59.33</v>
      </c>
      <c r="D198" t="s">
        <v>302</v>
      </c>
      <c r="E198" t="str">
        <f>CONCATENATE(J198,". ",N198)</f>
        <v>06. Tools</v>
      </c>
      <c r="F198">
        <v>75</v>
      </c>
      <c r="G198" t="b">
        <v>1</v>
      </c>
      <c r="H198">
        <v>570</v>
      </c>
      <c r="J198" s="193" t="s">
        <v>259</v>
      </c>
      <c r="K198" s="188">
        <f>IFERROR(_xlfn.XLOOKUP(A198,[1]Fleet!A:A,[1]Fleet!E:E,""),"")</f>
        <v>1</v>
      </c>
      <c r="L198" s="188">
        <v>55.45</v>
      </c>
      <c r="M198" s="188" t="s">
        <v>346</v>
      </c>
      <c r="N198" s="188" t="s">
        <v>332</v>
      </c>
      <c r="O198">
        <v>191</v>
      </c>
      <c r="P198">
        <f>_xlfn.XLOOKUP(A198,'[1]Classic Net to delete'!D:D,'[1]Classic Net to delete'!AA:AA,0)</f>
        <v>570</v>
      </c>
    </row>
    <row r="199" spans="1:17" x14ac:dyDescent="0.25">
      <c r="A199" t="s">
        <v>312</v>
      </c>
      <c r="B199" t="s">
        <v>313</v>
      </c>
      <c r="C199">
        <v>103.47</v>
      </c>
      <c r="D199" t="s">
        <v>302</v>
      </c>
      <c r="E199" t="s">
        <v>314</v>
      </c>
      <c r="F199">
        <v>75</v>
      </c>
      <c r="G199" t="b">
        <v>0</v>
      </c>
      <c r="H199" s="194">
        <v>0</v>
      </c>
      <c r="K199" s="188">
        <f>IFERROR(_xlfn.XLOOKUP(A199,[1]Fleet!A:A,[1]Fleet!E:E,""),"")</f>
        <v>5</v>
      </c>
      <c r="L199" s="188" t="s">
        <v>76</v>
      </c>
      <c r="M199" s="188" t="s">
        <v>76</v>
      </c>
      <c r="N199" s="188" t="s">
        <v>315</v>
      </c>
      <c r="O199">
        <v>179</v>
      </c>
      <c r="P199">
        <f>_xlfn.XLOOKUP(A199,'[1]Classic Net to delete'!D:D,'[1]Classic Net to delete'!AA:AA,0)</f>
        <v>0</v>
      </c>
      <c r="Q199" t="s">
        <v>20</v>
      </c>
    </row>
    <row r="200" spans="1:17" x14ac:dyDescent="0.25">
      <c r="A200" t="s">
        <v>316</v>
      </c>
      <c r="B200" t="s">
        <v>317</v>
      </c>
      <c r="C200">
        <v>103.47</v>
      </c>
      <c r="D200" t="s">
        <v>302</v>
      </c>
      <c r="E200" t="s">
        <v>314</v>
      </c>
      <c r="F200">
        <v>75</v>
      </c>
      <c r="G200" t="b">
        <v>0</v>
      </c>
      <c r="H200" s="194">
        <v>0</v>
      </c>
      <c r="K200" s="188">
        <f>IFERROR(_xlfn.XLOOKUP(A200,[1]Fleet!A:A,[1]Fleet!E:E,""),"")</f>
        <v>9</v>
      </c>
      <c r="L200" s="188" t="s">
        <v>76</v>
      </c>
      <c r="M200" s="188" t="s">
        <v>76</v>
      </c>
      <c r="N200" s="188" t="s">
        <v>315</v>
      </c>
      <c r="O200">
        <v>181</v>
      </c>
      <c r="P200">
        <f>_xlfn.XLOOKUP(A200,'[1]Classic Net to delete'!D:D,'[1]Classic Net to delete'!AA:AA,0)</f>
        <v>0</v>
      </c>
      <c r="Q200" t="s">
        <v>189</v>
      </c>
    </row>
    <row r="201" spans="1:17" x14ac:dyDescent="0.25">
      <c r="A201" t="s">
        <v>367</v>
      </c>
      <c r="B201" t="s">
        <v>368</v>
      </c>
      <c r="C201">
        <v>60.88</v>
      </c>
      <c r="D201" t="s">
        <v>302</v>
      </c>
      <c r="E201" t="s">
        <v>314</v>
      </c>
      <c r="F201">
        <v>75</v>
      </c>
      <c r="G201" t="b">
        <v>0</v>
      </c>
      <c r="H201">
        <v>0</v>
      </c>
      <c r="K201" s="188">
        <f>IFERROR(_xlfn.XLOOKUP(A201,[1]Fleet!A:A,[1]Fleet!E:E,""),"")</f>
        <v>1</v>
      </c>
      <c r="L201" s="188" t="s">
        <v>76</v>
      </c>
      <c r="M201" s="188" t="s">
        <v>76</v>
      </c>
      <c r="N201" s="188" t="s">
        <v>332</v>
      </c>
      <c r="O201">
        <v>193</v>
      </c>
      <c r="P201">
        <f>_xlfn.XLOOKUP(A201,'[1]Classic Net to delete'!D:D,'[1]Classic Net to delete'!AA:AA,0)</f>
        <v>0</v>
      </c>
      <c r="Q201" t="s">
        <v>188</v>
      </c>
    </row>
    <row r="202" spans="1:17" x14ac:dyDescent="0.25">
      <c r="A202" t="s">
        <v>1904</v>
      </c>
      <c r="B202" t="s">
        <v>1905</v>
      </c>
      <c r="C202">
        <v>11.34</v>
      </c>
      <c r="D202" t="s">
        <v>302</v>
      </c>
      <c r="E202" t="s">
        <v>314</v>
      </c>
      <c r="F202">
        <v>75</v>
      </c>
      <c r="G202" t="b">
        <v>0</v>
      </c>
      <c r="H202">
        <v>320</v>
      </c>
      <c r="K202" s="188" t="str">
        <f>IFERROR(_xlfn.XLOOKUP(A202,[1]Fleet!A:A,[1]Fleet!E:E,""),"")</f>
        <v/>
      </c>
      <c r="L202" s="188">
        <v>10.600000000000001</v>
      </c>
      <c r="M202" s="188" t="s">
        <v>1906</v>
      </c>
      <c r="N202" s="188" t="s">
        <v>363</v>
      </c>
      <c r="O202">
        <v>202</v>
      </c>
      <c r="P202">
        <f>_xlfn.XLOOKUP(A202,'[1]Classic Net to delete'!D:D,'[1]Classic Net to delete'!AA:AA,0)</f>
        <v>320</v>
      </c>
      <c r="Q202">
        <v>24</v>
      </c>
    </row>
    <row r="203" spans="1:17" x14ac:dyDescent="0.25">
      <c r="A203" t="s">
        <v>373</v>
      </c>
      <c r="B203" t="s">
        <v>374</v>
      </c>
      <c r="C203">
        <v>72.09</v>
      </c>
      <c r="D203" t="s">
        <v>371</v>
      </c>
      <c r="E203" t="str">
        <f>CONCATENATE(J203,". ",N203)</f>
        <v>01. Breakers</v>
      </c>
      <c r="F203">
        <v>75</v>
      </c>
      <c r="G203" t="b">
        <v>1</v>
      </c>
      <c r="H203">
        <v>265</v>
      </c>
      <c r="J203" s="193" t="s">
        <v>20</v>
      </c>
      <c r="K203" s="188">
        <f>IFERROR(_xlfn.XLOOKUP(A203,[1]Fleet!A:A,[1]Fleet!E:E,""),"")</f>
        <v>56</v>
      </c>
      <c r="L203" s="188">
        <v>55.45</v>
      </c>
      <c r="M203" s="188" t="s">
        <v>375</v>
      </c>
      <c r="N203" s="188" t="s">
        <v>315</v>
      </c>
      <c r="O203">
        <v>203</v>
      </c>
      <c r="P203">
        <f>_xlfn.XLOOKUP(A203,'[1]Classic Net to delete'!D:D,'[1]Classic Net to delete'!AA:AA,0)</f>
        <v>265</v>
      </c>
      <c r="Q203">
        <v>31</v>
      </c>
    </row>
    <row r="204" spans="1:17" x14ac:dyDescent="0.25">
      <c r="A204" t="s">
        <v>376</v>
      </c>
      <c r="B204" t="s">
        <v>377</v>
      </c>
      <c r="C204">
        <v>138</v>
      </c>
      <c r="D204" t="s">
        <v>371</v>
      </c>
      <c r="E204" t="str">
        <f>CONCATENATE(J204,". ",N204)</f>
        <v>01. Breakers</v>
      </c>
      <c r="F204">
        <v>75</v>
      </c>
      <c r="G204" t="b">
        <v>1</v>
      </c>
      <c r="H204">
        <v>266</v>
      </c>
      <c r="J204" s="193" t="s">
        <v>20</v>
      </c>
      <c r="K204" s="188">
        <f>IFERROR(_xlfn.XLOOKUP(A204,[1]Fleet!A:A,[1]Fleet!E:E,""),"")</f>
        <v>4</v>
      </c>
      <c r="L204" s="188">
        <v>106.15</v>
      </c>
      <c r="M204" s="188" t="s">
        <v>377</v>
      </c>
      <c r="N204" s="188" t="s">
        <v>315</v>
      </c>
      <c r="O204">
        <v>204</v>
      </c>
      <c r="P204">
        <f>_xlfn.XLOOKUP(A204,'[1]Classic Net to delete'!D:D,'[1]Classic Net to delete'!AA:AA,0)</f>
        <v>266</v>
      </c>
      <c r="Q204">
        <v>32</v>
      </c>
    </row>
    <row r="205" spans="1:17" x14ac:dyDescent="0.25">
      <c r="A205" t="s">
        <v>381</v>
      </c>
      <c r="B205" t="s">
        <v>382</v>
      </c>
      <c r="C205">
        <v>53.980000000000004</v>
      </c>
      <c r="D205" t="s">
        <v>371</v>
      </c>
      <c r="E205" t="str">
        <f>CONCATENATE(J205,". ",N205)</f>
        <v>01. Breakers</v>
      </c>
      <c r="F205">
        <v>75</v>
      </c>
      <c r="G205" t="b">
        <v>1</v>
      </c>
      <c r="H205">
        <v>267</v>
      </c>
      <c r="J205" s="193" t="s">
        <v>20</v>
      </c>
      <c r="K205" s="188">
        <f>IFERROR(_xlfn.XLOOKUP(A205,[1]Fleet!A:A,[1]Fleet!E:E,""),"")</f>
        <v>6</v>
      </c>
      <c r="L205" s="188">
        <v>50.45</v>
      </c>
      <c r="M205" s="188" t="s">
        <v>383</v>
      </c>
      <c r="N205" s="188" t="s">
        <v>315</v>
      </c>
      <c r="O205">
        <v>206</v>
      </c>
      <c r="P205">
        <f>_xlfn.XLOOKUP(A205,'[1]Classic Net to delete'!D:D,'[1]Classic Net to delete'!AA:AA,0)</f>
        <v>267</v>
      </c>
      <c r="Q205">
        <v>33</v>
      </c>
    </row>
    <row r="206" spans="1:17" x14ac:dyDescent="0.25">
      <c r="A206" t="s">
        <v>378</v>
      </c>
      <c r="B206" t="s">
        <v>379</v>
      </c>
      <c r="C206">
        <v>96.73</v>
      </c>
      <c r="D206" t="s">
        <v>371</v>
      </c>
      <c r="E206" t="str">
        <f>CONCATENATE(J206,". ",N206)</f>
        <v>01. Breakers</v>
      </c>
      <c r="F206">
        <v>75</v>
      </c>
      <c r="G206" t="b">
        <v>1</v>
      </c>
      <c r="H206">
        <v>268</v>
      </c>
      <c r="J206" s="193" t="s">
        <v>20</v>
      </c>
      <c r="K206" s="188">
        <f>IFERROR(_xlfn.XLOOKUP(A206,[1]Fleet!A:A,[1]Fleet!E:E,""),"")</f>
        <v>69</v>
      </c>
      <c r="L206" s="188">
        <v>56.900000000000006</v>
      </c>
      <c r="M206" s="188" t="s">
        <v>380</v>
      </c>
      <c r="N206" s="188" t="s">
        <v>315</v>
      </c>
      <c r="O206">
        <v>205</v>
      </c>
      <c r="P206">
        <f>_xlfn.XLOOKUP(A206,'[1]Classic Net to delete'!D:D,'[1]Classic Net to delete'!AA:AA,0)</f>
        <v>268</v>
      </c>
      <c r="Q206">
        <v>34</v>
      </c>
    </row>
    <row r="207" spans="1:17" x14ac:dyDescent="0.25">
      <c r="A207" t="s">
        <v>407</v>
      </c>
      <c r="B207" t="s">
        <v>408</v>
      </c>
      <c r="C207">
        <v>53.980000000000004</v>
      </c>
      <c r="D207" t="s">
        <v>371</v>
      </c>
      <c r="E207" t="str">
        <f>CONCATENATE(J207,". ",N207)</f>
        <v>01. Breakers</v>
      </c>
      <c r="F207">
        <v>75</v>
      </c>
      <c r="G207" t="b">
        <v>1</v>
      </c>
      <c r="H207">
        <v>269</v>
      </c>
      <c r="J207" s="193" t="s">
        <v>20</v>
      </c>
      <c r="K207" s="188">
        <f>IFERROR(_xlfn.XLOOKUP(A207,[1]Fleet!A:A,[1]Fleet!E:E,""),"")</f>
        <v>8</v>
      </c>
      <c r="L207" s="188">
        <v>50.45</v>
      </c>
      <c r="M207" s="188" t="s">
        <v>409</v>
      </c>
      <c r="N207" s="188" t="s">
        <v>315</v>
      </c>
      <c r="O207">
        <v>208</v>
      </c>
      <c r="P207">
        <f>_xlfn.XLOOKUP(A207,'[1]Classic Net to delete'!D:D,'[1]Classic Net to delete'!AA:AA,0)</f>
        <v>269</v>
      </c>
      <c r="Q207">
        <v>35</v>
      </c>
    </row>
    <row r="208" spans="1:17" x14ac:dyDescent="0.25">
      <c r="A208" t="s">
        <v>387</v>
      </c>
      <c r="B208" t="s">
        <v>388</v>
      </c>
      <c r="C208">
        <v>96.2</v>
      </c>
      <c r="D208" t="s">
        <v>371</v>
      </c>
      <c r="E208" t="str">
        <f>CONCATENATE(J208,". ",N208)</f>
        <v>01. Breakers</v>
      </c>
      <c r="F208">
        <v>75</v>
      </c>
      <c r="G208" t="b">
        <v>1</v>
      </c>
      <c r="H208">
        <v>271</v>
      </c>
      <c r="J208" s="193" t="s">
        <v>20</v>
      </c>
      <c r="K208" s="188">
        <f>IFERROR(_xlfn.XLOOKUP(A208,[1]Fleet!A:A,[1]Fleet!E:E,""),"")</f>
        <v>94</v>
      </c>
      <c r="L208" s="188">
        <v>74</v>
      </c>
      <c r="M208" s="188" t="s">
        <v>389</v>
      </c>
      <c r="N208" s="188" t="s">
        <v>315</v>
      </c>
      <c r="O208">
        <v>207</v>
      </c>
      <c r="P208">
        <f>_xlfn.XLOOKUP(A208,'[1]Classic Net to delete'!D:D,'[1]Classic Net to delete'!AA:AA,0)</f>
        <v>271</v>
      </c>
      <c r="Q208">
        <v>36</v>
      </c>
    </row>
    <row r="209" spans="1:17" x14ac:dyDescent="0.25">
      <c r="A209" t="s">
        <v>392</v>
      </c>
      <c r="B209" t="s">
        <v>393</v>
      </c>
      <c r="C209">
        <v>145.6</v>
      </c>
      <c r="D209" t="s">
        <v>371</v>
      </c>
      <c r="E209" t="str">
        <f>CONCATENATE(J209,". ",N209)</f>
        <v>01. Breakers</v>
      </c>
      <c r="F209">
        <v>75</v>
      </c>
      <c r="G209" t="b">
        <v>1</v>
      </c>
      <c r="H209">
        <v>272</v>
      </c>
      <c r="J209" s="193" t="s">
        <v>20</v>
      </c>
      <c r="K209" s="188">
        <f>IFERROR(_xlfn.XLOOKUP(A209,[1]Fleet!A:A,[1]Fleet!E:E,""),"")</f>
        <v>10</v>
      </c>
      <c r="L209" s="188">
        <v>112</v>
      </c>
      <c r="M209" s="188" t="s">
        <v>394</v>
      </c>
      <c r="N209" s="188" t="s">
        <v>315</v>
      </c>
      <c r="O209">
        <v>210</v>
      </c>
      <c r="P209">
        <f>_xlfn.XLOOKUP(A209,'[1]Classic Net to delete'!D:D,'[1]Classic Net to delete'!AA:AA,0)</f>
        <v>272</v>
      </c>
      <c r="Q209">
        <v>36</v>
      </c>
    </row>
    <row r="210" spans="1:17" x14ac:dyDescent="0.25">
      <c r="A210" t="s">
        <v>400</v>
      </c>
      <c r="B210" t="s">
        <v>401</v>
      </c>
      <c r="C210">
        <v>87.04</v>
      </c>
      <c r="D210" t="s">
        <v>371</v>
      </c>
      <c r="E210" t="str">
        <f>CONCATENATE(J210,". ",N210)</f>
        <v>01. Breakers</v>
      </c>
      <c r="F210">
        <v>75</v>
      </c>
      <c r="G210" t="b">
        <v>1</v>
      </c>
      <c r="H210">
        <v>273</v>
      </c>
      <c r="J210" s="193" t="s">
        <v>20</v>
      </c>
      <c r="K210" s="188">
        <f>IFERROR(_xlfn.XLOOKUP(A210,[1]Fleet!A:A,[1]Fleet!E:E,""),"")</f>
        <v>7</v>
      </c>
      <c r="L210" s="188">
        <v>81.350000000000009</v>
      </c>
      <c r="M210" s="188" t="s">
        <v>402</v>
      </c>
      <c r="N210" s="188" t="s">
        <v>315</v>
      </c>
      <c r="O210">
        <v>211</v>
      </c>
      <c r="P210">
        <f>_xlfn.XLOOKUP(A210,'[1]Classic Net to delete'!D:D,'[1]Classic Net to delete'!AA:AA,0)</f>
        <v>273</v>
      </c>
      <c r="Q210">
        <v>36.1</v>
      </c>
    </row>
    <row r="211" spans="1:17" x14ac:dyDescent="0.25">
      <c r="A211" t="s">
        <v>397</v>
      </c>
      <c r="B211" t="s">
        <v>398</v>
      </c>
      <c r="C211">
        <v>113.58</v>
      </c>
      <c r="D211" t="s">
        <v>371</v>
      </c>
      <c r="E211" t="str">
        <f>CONCATENATE(J211,". ",N211)</f>
        <v>01. Breakers</v>
      </c>
      <c r="F211">
        <v>75</v>
      </c>
      <c r="G211" t="b">
        <v>1</v>
      </c>
      <c r="H211">
        <v>274</v>
      </c>
      <c r="J211" s="193" t="s">
        <v>20</v>
      </c>
      <c r="K211" s="188">
        <f>IFERROR(_xlfn.XLOOKUP(A211,[1]Fleet!A:A,[1]Fleet!E:E,""),"")</f>
        <v>6</v>
      </c>
      <c r="L211" s="188">
        <v>106.15</v>
      </c>
      <c r="M211" s="188" t="s">
        <v>399</v>
      </c>
      <c r="N211" s="188" t="s">
        <v>315</v>
      </c>
      <c r="O211">
        <v>214</v>
      </c>
      <c r="P211">
        <f>_xlfn.XLOOKUP(A211,'[1]Classic Net to delete'!D:D,'[1]Classic Net to delete'!AA:AA,0)</f>
        <v>274</v>
      </c>
      <c r="Q211">
        <v>37</v>
      </c>
    </row>
    <row r="212" spans="1:17" x14ac:dyDescent="0.25">
      <c r="A212" t="s">
        <v>511</v>
      </c>
      <c r="B212" t="s">
        <v>512</v>
      </c>
      <c r="C212">
        <v>232.92000000000002</v>
      </c>
      <c r="D212" t="s">
        <v>371</v>
      </c>
      <c r="E212" t="str">
        <f>CONCATENATE(J212,". ",N212)</f>
        <v>01. Breakers</v>
      </c>
      <c r="F212">
        <v>75</v>
      </c>
      <c r="G212" t="b">
        <v>1</v>
      </c>
      <c r="H212">
        <v>275</v>
      </c>
      <c r="J212" s="193" t="s">
        <v>20</v>
      </c>
      <c r="K212" s="188">
        <f>IFERROR(_xlfn.XLOOKUP(A212,[1]Fleet!A:A,[1]Fleet!E:E,""),"")</f>
        <v>8</v>
      </c>
      <c r="L212" s="188">
        <v>129.4</v>
      </c>
      <c r="M212" s="188" t="s">
        <v>513</v>
      </c>
      <c r="N212" s="188" t="s">
        <v>315</v>
      </c>
      <c r="O212">
        <v>212</v>
      </c>
      <c r="P212">
        <f>_xlfn.XLOOKUP(A212,'[1]Classic Net to delete'!D:D,'[1]Classic Net to delete'!AA:AA,0)</f>
        <v>275</v>
      </c>
      <c r="Q212">
        <v>38</v>
      </c>
    </row>
    <row r="213" spans="1:17" x14ac:dyDescent="0.25">
      <c r="A213" t="s">
        <v>422</v>
      </c>
      <c r="B213" t="s">
        <v>423</v>
      </c>
      <c r="C213">
        <v>45.15</v>
      </c>
      <c r="D213" t="s">
        <v>371</v>
      </c>
      <c r="E213" t="str">
        <f>CONCATENATE(J213,". ",N213)</f>
        <v>01. Breakers</v>
      </c>
      <c r="F213">
        <v>75</v>
      </c>
      <c r="G213" t="b">
        <v>1</v>
      </c>
      <c r="H213">
        <v>277</v>
      </c>
      <c r="J213" s="193" t="s">
        <v>20</v>
      </c>
      <c r="K213" s="188">
        <f>IFERROR(_xlfn.XLOOKUP(A213,[1]Fleet!A:A,[1]Fleet!E:E,""),"")</f>
        <v>15</v>
      </c>
      <c r="L213" s="188">
        <v>42.2</v>
      </c>
      <c r="M213" s="188" t="s">
        <v>423</v>
      </c>
      <c r="N213" s="188" t="s">
        <v>315</v>
      </c>
      <c r="O213">
        <v>218</v>
      </c>
      <c r="P213">
        <f>_xlfn.XLOOKUP(A213,'[1]Classic Net to delete'!D:D,'[1]Classic Net to delete'!AA:AA,0)</f>
        <v>277</v>
      </c>
      <c r="Q213">
        <v>42</v>
      </c>
    </row>
    <row r="214" spans="1:17" x14ac:dyDescent="0.25">
      <c r="A214" t="s">
        <v>424</v>
      </c>
      <c r="B214" t="s">
        <v>425</v>
      </c>
      <c r="C214">
        <v>113.58</v>
      </c>
      <c r="D214" t="s">
        <v>371</v>
      </c>
      <c r="E214" t="str">
        <f>CONCATENATE(J214,". ",N214)</f>
        <v>01. Breakers</v>
      </c>
      <c r="F214">
        <v>75</v>
      </c>
      <c r="G214" t="b">
        <v>1</v>
      </c>
      <c r="H214">
        <v>278</v>
      </c>
      <c r="J214" s="193" t="s">
        <v>20</v>
      </c>
      <c r="K214" s="188">
        <f>IFERROR(_xlfn.XLOOKUP(A214,[1]Fleet!A:A,[1]Fleet!E:E,""),"")</f>
        <v>14</v>
      </c>
      <c r="L214" s="188">
        <v>106.15</v>
      </c>
      <c r="M214" s="188" t="s">
        <v>426</v>
      </c>
      <c r="N214" s="188" t="s">
        <v>315</v>
      </c>
      <c r="O214">
        <v>219</v>
      </c>
      <c r="P214">
        <f>_xlfn.XLOOKUP(A214,'[1]Classic Net to delete'!D:D,'[1]Classic Net to delete'!AA:AA,0)</f>
        <v>278</v>
      </c>
      <c r="Q214">
        <v>43</v>
      </c>
    </row>
    <row r="215" spans="1:17" x14ac:dyDescent="0.25">
      <c r="A215" t="s">
        <v>427</v>
      </c>
      <c r="B215" t="s">
        <v>428</v>
      </c>
      <c r="C215">
        <v>73.97</v>
      </c>
      <c r="D215" t="s">
        <v>371</v>
      </c>
      <c r="E215" t="str">
        <f>CONCATENATE(J215,". ",N215)</f>
        <v>02. Combi-hammers</v>
      </c>
      <c r="F215">
        <v>75</v>
      </c>
      <c r="G215" t="b">
        <v>1</v>
      </c>
      <c r="H215">
        <v>262</v>
      </c>
      <c r="J215" s="193" t="s">
        <v>189</v>
      </c>
      <c r="K215" s="188">
        <f>IFERROR(_xlfn.XLOOKUP(A215,[1]Fleet!A:A,[1]Fleet!E:E,""),"")</f>
        <v>22</v>
      </c>
      <c r="L215" s="188">
        <v>56.900000000000006</v>
      </c>
      <c r="M215" s="188" t="s">
        <v>429</v>
      </c>
      <c r="N215" s="188" t="s">
        <v>406</v>
      </c>
      <c r="O215">
        <v>226</v>
      </c>
      <c r="P215">
        <f>_xlfn.XLOOKUP(A215,'[1]Classic Net to delete'!D:D,'[1]Classic Net to delete'!AA:AA,0)</f>
        <v>262</v>
      </c>
      <c r="Q215">
        <v>47</v>
      </c>
    </row>
    <row r="216" spans="1:17" x14ac:dyDescent="0.25">
      <c r="A216" t="s">
        <v>1896</v>
      </c>
      <c r="B216" t="s">
        <v>1897</v>
      </c>
      <c r="C216">
        <v>27.5</v>
      </c>
      <c r="D216" t="s">
        <v>371</v>
      </c>
      <c r="E216" t="str">
        <f>CONCATENATE(J216,". ",N216)</f>
        <v>02. Combi-hammers</v>
      </c>
      <c r="F216">
        <v>75</v>
      </c>
      <c r="G216" t="b">
        <v>1</v>
      </c>
      <c r="H216">
        <v>263</v>
      </c>
      <c r="J216" s="193" t="s">
        <v>189</v>
      </c>
      <c r="K216" s="188" t="str">
        <f>IFERROR(_xlfn.XLOOKUP(A216,[1]Fleet!A:A,[1]Fleet!E:E,""),"")</f>
        <v/>
      </c>
      <c r="L216" s="188">
        <v>25.700000000000003</v>
      </c>
      <c r="M216" s="188" t="s">
        <v>1898</v>
      </c>
      <c r="N216" s="188" t="s">
        <v>406</v>
      </c>
      <c r="O216">
        <v>227</v>
      </c>
      <c r="P216">
        <f>_xlfn.XLOOKUP(A216,'[1]Classic Net to delete'!D:D,'[1]Classic Net to delete'!AA:AA,0)</f>
        <v>263</v>
      </c>
      <c r="Q216">
        <v>49</v>
      </c>
    </row>
    <row r="217" spans="1:17" x14ac:dyDescent="0.25">
      <c r="A217" t="s">
        <v>403</v>
      </c>
      <c r="B217" t="s">
        <v>404</v>
      </c>
      <c r="C217">
        <v>56.76</v>
      </c>
      <c r="D217" t="s">
        <v>371</v>
      </c>
      <c r="E217" t="str">
        <f>CONCATENATE(J217,". ",N217)</f>
        <v>02. Combi-hammers</v>
      </c>
      <c r="F217">
        <v>75</v>
      </c>
      <c r="G217" t="b">
        <v>1</v>
      </c>
      <c r="H217">
        <v>282</v>
      </c>
      <c r="J217" s="193" t="s">
        <v>189</v>
      </c>
      <c r="K217" s="188">
        <f>IFERROR(_xlfn.XLOOKUP(A217,[1]Fleet!A:A,[1]Fleet!E:E,""),"")</f>
        <v>2</v>
      </c>
      <c r="L217" s="188">
        <v>53.050000000000004</v>
      </c>
      <c r="M217" s="188" t="s">
        <v>405</v>
      </c>
      <c r="N217" s="188" t="s">
        <v>406</v>
      </c>
      <c r="O217">
        <v>220</v>
      </c>
      <c r="P217">
        <f>_xlfn.XLOOKUP(A217,'[1]Classic Net to delete'!D:D,'[1]Classic Net to delete'!AA:AA,0)</f>
        <v>282</v>
      </c>
      <c r="Q217">
        <v>49.1</v>
      </c>
    </row>
    <row r="218" spans="1:17" x14ac:dyDescent="0.25">
      <c r="A218" t="s">
        <v>412</v>
      </c>
      <c r="B218" t="s">
        <v>413</v>
      </c>
      <c r="C218">
        <v>62.49</v>
      </c>
      <c r="D218" t="s">
        <v>371</v>
      </c>
      <c r="E218" t="str">
        <f>CONCATENATE(J218,". ",N218)</f>
        <v>02. Combi-hammers</v>
      </c>
      <c r="F218">
        <v>75</v>
      </c>
      <c r="G218" t="b">
        <v>1</v>
      </c>
      <c r="H218">
        <v>283</v>
      </c>
      <c r="J218" s="193" t="s">
        <v>189</v>
      </c>
      <c r="K218" s="188">
        <f>IFERROR(_xlfn.XLOOKUP(A218,[1]Fleet!A:A,[1]Fleet!E:E,""),"")</f>
        <v>4</v>
      </c>
      <c r="L218" s="188">
        <v>58.400000000000006</v>
      </c>
      <c r="M218" s="188" t="s">
        <v>414</v>
      </c>
      <c r="N218" s="188" t="s">
        <v>406</v>
      </c>
      <c r="O218">
        <v>221</v>
      </c>
      <c r="P218">
        <f>_xlfn.XLOOKUP(A218,'[1]Classic Net to delete'!D:D,'[1]Classic Net to delete'!AA:AA,0)</f>
        <v>283</v>
      </c>
      <c r="Q218">
        <v>50</v>
      </c>
    </row>
    <row r="219" spans="1:17" x14ac:dyDescent="0.25">
      <c r="A219" t="s">
        <v>419</v>
      </c>
      <c r="B219" t="s">
        <v>420</v>
      </c>
      <c r="C219">
        <v>97.44</v>
      </c>
      <c r="D219" t="s">
        <v>371</v>
      </c>
      <c r="E219" t="str">
        <f>CONCATENATE(J219,". ",N219)</f>
        <v>02. Combi-hammers</v>
      </c>
      <c r="F219">
        <v>75</v>
      </c>
      <c r="G219" t="b">
        <v>1</v>
      </c>
      <c r="H219">
        <v>284</v>
      </c>
      <c r="J219" s="193" t="s">
        <v>189</v>
      </c>
      <c r="K219" s="188">
        <f>IFERROR(_xlfn.XLOOKUP(A219,[1]Fleet!A:A,[1]Fleet!E:E,""),"")</f>
        <v>24</v>
      </c>
      <c r="L219" s="188">
        <v>74.95</v>
      </c>
      <c r="M219" s="188" t="s">
        <v>421</v>
      </c>
      <c r="N219" s="188" t="s">
        <v>406</v>
      </c>
      <c r="O219">
        <v>223</v>
      </c>
      <c r="P219">
        <f>_xlfn.XLOOKUP(A219,'[1]Classic Net to delete'!D:D,'[1]Classic Net to delete'!AA:AA,0)</f>
        <v>284</v>
      </c>
      <c r="Q219">
        <v>51</v>
      </c>
    </row>
    <row r="220" spans="1:17" x14ac:dyDescent="0.25">
      <c r="A220" t="s">
        <v>531</v>
      </c>
      <c r="B220" t="s">
        <v>532</v>
      </c>
      <c r="C220">
        <v>68.16</v>
      </c>
      <c r="D220" t="s">
        <v>371</v>
      </c>
      <c r="E220" t="str">
        <f>CONCATENATE(J220,". ",N220)</f>
        <v>03. Drilling</v>
      </c>
      <c r="F220">
        <v>75</v>
      </c>
      <c r="G220" t="b">
        <v>1</v>
      </c>
      <c r="H220">
        <v>285</v>
      </c>
      <c r="J220" s="193" t="s">
        <v>188</v>
      </c>
      <c r="K220" s="188">
        <f>IFERROR(_xlfn.XLOOKUP(A220,[1]Fleet!A:A,[1]Fleet!E:E,""),"")</f>
        <v>10</v>
      </c>
      <c r="L220" s="188">
        <v>63.7</v>
      </c>
      <c r="M220" s="188" t="s">
        <v>533</v>
      </c>
      <c r="N220" s="188" t="s">
        <v>433</v>
      </c>
      <c r="O220">
        <v>230</v>
      </c>
      <c r="P220">
        <f>_xlfn.XLOOKUP(A220,'[1]Classic Net to delete'!D:D,'[1]Classic Net to delete'!AA:AA,0)</f>
        <v>285</v>
      </c>
      <c r="Q220">
        <v>57</v>
      </c>
    </row>
    <row r="221" spans="1:17" x14ac:dyDescent="0.25">
      <c r="A221" t="s">
        <v>546</v>
      </c>
      <c r="B221" t="s">
        <v>547</v>
      </c>
      <c r="C221">
        <v>69.66</v>
      </c>
      <c r="D221" t="s">
        <v>371</v>
      </c>
      <c r="E221" t="str">
        <f>CONCATENATE(J221,". ",N221)</f>
        <v>03. Drilling</v>
      </c>
      <c r="F221">
        <v>75</v>
      </c>
      <c r="G221" t="b">
        <v>1</v>
      </c>
      <c r="H221">
        <v>286</v>
      </c>
      <c r="J221" s="193" t="s">
        <v>188</v>
      </c>
      <c r="K221" s="188">
        <f>IFERROR(_xlfn.XLOOKUP(A221,[1]Fleet!A:A,[1]Fleet!E:E,""),"")</f>
        <v>5</v>
      </c>
      <c r="L221" s="188">
        <v>65.100000000000009</v>
      </c>
      <c r="M221" s="188" t="s">
        <v>548</v>
      </c>
      <c r="N221" s="188" t="s">
        <v>433</v>
      </c>
      <c r="O221">
        <v>229</v>
      </c>
      <c r="P221">
        <f>_xlfn.XLOOKUP(A221,'[1]Classic Net to delete'!D:D,'[1]Classic Net to delete'!AA:AA,0)</f>
        <v>286</v>
      </c>
      <c r="Q221">
        <v>58</v>
      </c>
    </row>
    <row r="222" spans="1:17" x14ac:dyDescent="0.25">
      <c r="A222" t="s">
        <v>537</v>
      </c>
      <c r="B222" t="s">
        <v>538</v>
      </c>
      <c r="C222">
        <v>78.180000000000007</v>
      </c>
      <c r="D222" t="s">
        <v>371</v>
      </c>
      <c r="E222" t="str">
        <f>CONCATENATE(J222,". ",N222)</f>
        <v>03. Drilling</v>
      </c>
      <c r="F222">
        <v>75</v>
      </c>
      <c r="G222" t="b">
        <v>1</v>
      </c>
      <c r="H222">
        <v>287</v>
      </c>
      <c r="J222" s="193" t="s">
        <v>188</v>
      </c>
      <c r="K222" s="188">
        <f>IFERROR(_xlfn.XLOOKUP(A222,[1]Fleet!A:A,[1]Fleet!E:E,""),"")</f>
        <v>3</v>
      </c>
      <c r="L222" s="188">
        <v>69.8</v>
      </c>
      <c r="M222" s="188" t="s">
        <v>539</v>
      </c>
      <c r="N222" s="188" t="s">
        <v>433</v>
      </c>
      <c r="O222">
        <v>232</v>
      </c>
      <c r="P222">
        <f>_xlfn.XLOOKUP(A222,'[1]Classic Net to delete'!D:D,'[1]Classic Net to delete'!AA:AA,0)</f>
        <v>287</v>
      </c>
      <c r="Q222">
        <v>59</v>
      </c>
    </row>
    <row r="223" spans="1:17" x14ac:dyDescent="0.25">
      <c r="A223" t="s">
        <v>463</v>
      </c>
      <c r="B223" t="s">
        <v>464</v>
      </c>
      <c r="C223">
        <v>25.57</v>
      </c>
      <c r="D223" t="s">
        <v>371</v>
      </c>
      <c r="E223" t="str">
        <f>CONCATENATE(J223,". ",N223)</f>
        <v>03. Drilling</v>
      </c>
      <c r="F223">
        <v>75</v>
      </c>
      <c r="G223" t="b">
        <v>1</v>
      </c>
      <c r="H223">
        <v>290</v>
      </c>
      <c r="J223" s="193" t="s">
        <v>188</v>
      </c>
      <c r="K223" s="188">
        <f>IFERROR(_xlfn.XLOOKUP(A223,[1]Fleet!A:A,[1]Fleet!E:E,""),"")</f>
        <v>13</v>
      </c>
      <c r="L223" s="188">
        <v>23.900000000000002</v>
      </c>
      <c r="M223" s="188" t="s">
        <v>464</v>
      </c>
      <c r="N223" s="188" t="s">
        <v>433</v>
      </c>
      <c r="O223">
        <v>247</v>
      </c>
      <c r="P223">
        <f>_xlfn.XLOOKUP(A223,'[1]Classic Net to delete'!D:D,'[1]Classic Net to delete'!AA:AA,0)</f>
        <v>290</v>
      </c>
      <c r="Q223">
        <v>60</v>
      </c>
    </row>
    <row r="224" spans="1:17" x14ac:dyDescent="0.25">
      <c r="A224" t="s">
        <v>455</v>
      </c>
      <c r="B224" t="s">
        <v>456</v>
      </c>
      <c r="C224">
        <v>47.03</v>
      </c>
      <c r="D224" t="s">
        <v>371</v>
      </c>
      <c r="E224" t="str">
        <f>CONCATENATE(J224,". ",N224)</f>
        <v>03. Drilling</v>
      </c>
      <c r="F224">
        <v>75</v>
      </c>
      <c r="G224" t="b">
        <v>1</v>
      </c>
      <c r="H224">
        <v>291</v>
      </c>
      <c r="J224" s="193" t="s">
        <v>188</v>
      </c>
      <c r="K224" s="188">
        <f>IFERROR(_xlfn.XLOOKUP(A224,[1]Fleet!A:A,[1]Fleet!E:E,""),"")</f>
        <v>2</v>
      </c>
      <c r="L224" s="188">
        <v>43.95</v>
      </c>
      <c r="M224" s="188" t="s">
        <v>456</v>
      </c>
      <c r="N224" s="188" t="s">
        <v>433</v>
      </c>
      <c r="O224">
        <v>244</v>
      </c>
      <c r="P224">
        <f>_xlfn.XLOOKUP(A224,'[1]Classic Net to delete'!D:D,'[1]Classic Net to delete'!AA:AA,0)</f>
        <v>291</v>
      </c>
      <c r="Q224">
        <v>60.1</v>
      </c>
    </row>
    <row r="225" spans="1:17" x14ac:dyDescent="0.25">
      <c r="A225" t="s">
        <v>461</v>
      </c>
      <c r="B225" t="s">
        <v>462</v>
      </c>
      <c r="C225">
        <v>48.26</v>
      </c>
      <c r="D225" t="s">
        <v>371</v>
      </c>
      <c r="E225" t="str">
        <f>CONCATENATE(J225,". ",N225)</f>
        <v>03. Drilling</v>
      </c>
      <c r="F225">
        <v>75</v>
      </c>
      <c r="G225" t="b">
        <v>1</v>
      </c>
      <c r="H225">
        <v>292</v>
      </c>
      <c r="J225" s="193" t="s">
        <v>188</v>
      </c>
      <c r="K225" s="188">
        <f>IFERROR(_xlfn.XLOOKUP(A225,[1]Fleet!A:A,[1]Fleet!E:E,""),"")</f>
        <v>3</v>
      </c>
      <c r="L225" s="188">
        <v>45.1</v>
      </c>
      <c r="M225" s="188" t="s">
        <v>462</v>
      </c>
      <c r="N225" s="188" t="s">
        <v>433</v>
      </c>
      <c r="O225">
        <v>246</v>
      </c>
      <c r="P225">
        <f>_xlfn.XLOOKUP(A225,'[1]Classic Net to delete'!D:D,'[1]Classic Net to delete'!AA:AA,0)</f>
        <v>292</v>
      </c>
      <c r="Q225">
        <v>61</v>
      </c>
    </row>
    <row r="226" spans="1:17" x14ac:dyDescent="0.25">
      <c r="A226" t="s">
        <v>430</v>
      </c>
      <c r="B226" t="s">
        <v>431</v>
      </c>
      <c r="C226">
        <v>51.15</v>
      </c>
      <c r="D226" t="s">
        <v>371</v>
      </c>
      <c r="E226" t="str">
        <f>CONCATENATE(J226,". ",N226)</f>
        <v>03. Drilling</v>
      </c>
      <c r="F226">
        <v>75</v>
      </c>
      <c r="G226" t="b">
        <v>1</v>
      </c>
      <c r="H226">
        <v>293</v>
      </c>
      <c r="J226" s="193" t="s">
        <v>188</v>
      </c>
      <c r="K226" s="188">
        <f>IFERROR(_xlfn.XLOOKUP(A226,[1]Fleet!A:A,[1]Fleet!E:E,""),"")</f>
        <v>5</v>
      </c>
      <c r="L226" s="188">
        <v>47.800000000000004</v>
      </c>
      <c r="M226" s="188" t="s">
        <v>432</v>
      </c>
      <c r="N226" s="188" t="s">
        <v>433</v>
      </c>
      <c r="O226">
        <v>242</v>
      </c>
      <c r="P226">
        <f>_xlfn.XLOOKUP(A226,'[1]Classic Net to delete'!D:D,'[1]Classic Net to delete'!AA:AA,0)</f>
        <v>293</v>
      </c>
      <c r="Q226">
        <v>62</v>
      </c>
    </row>
    <row r="227" spans="1:17" x14ac:dyDescent="0.25">
      <c r="A227" t="s">
        <v>543</v>
      </c>
      <c r="B227" t="s">
        <v>544</v>
      </c>
      <c r="C227">
        <v>58.26</v>
      </c>
      <c r="D227" t="s">
        <v>371</v>
      </c>
      <c r="E227" t="str">
        <f>CONCATENATE(J227,". ",N227)</f>
        <v>03. Drilling</v>
      </c>
      <c r="F227">
        <v>75</v>
      </c>
      <c r="G227" t="b">
        <v>1</v>
      </c>
      <c r="H227">
        <v>294</v>
      </c>
      <c r="J227" s="193" t="s">
        <v>188</v>
      </c>
      <c r="K227" s="188">
        <f>IFERROR(_xlfn.XLOOKUP(A227,[1]Fleet!A:A,[1]Fleet!E:E,""),"")</f>
        <v>6</v>
      </c>
      <c r="L227" s="188">
        <v>54.45</v>
      </c>
      <c r="M227" s="188" t="s">
        <v>545</v>
      </c>
      <c r="N227" s="188" t="s">
        <v>433</v>
      </c>
      <c r="O227">
        <v>228</v>
      </c>
      <c r="P227">
        <f>_xlfn.XLOOKUP(A227,'[1]Classic Net to delete'!D:D,'[1]Classic Net to delete'!AA:AA,0)</f>
        <v>294</v>
      </c>
      <c r="Q227">
        <v>70</v>
      </c>
    </row>
    <row r="228" spans="1:17" x14ac:dyDescent="0.25">
      <c r="A228" t="s">
        <v>534</v>
      </c>
      <c r="B228" t="s">
        <v>535</v>
      </c>
      <c r="C228">
        <v>58.1</v>
      </c>
      <c r="D228" t="s">
        <v>371</v>
      </c>
      <c r="E228" t="str">
        <f>CONCATENATE(J228,". ",N228)</f>
        <v>03. Drilling</v>
      </c>
      <c r="F228">
        <v>75</v>
      </c>
      <c r="G228" t="b">
        <v>1</v>
      </c>
      <c r="H228">
        <v>295</v>
      </c>
      <c r="J228" s="193" t="s">
        <v>188</v>
      </c>
      <c r="K228" s="188">
        <f>IFERROR(_xlfn.XLOOKUP(A228,[1]Fleet!A:A,[1]Fleet!E:E,""),"")</f>
        <v>10</v>
      </c>
      <c r="L228" s="188">
        <v>54.300000000000004</v>
      </c>
      <c r="M228" s="188" t="s">
        <v>536</v>
      </c>
      <c r="N228" s="188" t="s">
        <v>433</v>
      </c>
      <c r="O228">
        <v>233</v>
      </c>
      <c r="P228">
        <f>_xlfn.XLOOKUP(A228,'[1]Classic Net to delete'!D:D,'[1]Classic Net to delete'!AA:AA,0)</f>
        <v>295</v>
      </c>
      <c r="Q228">
        <v>71</v>
      </c>
    </row>
    <row r="229" spans="1:17" x14ac:dyDescent="0.25">
      <c r="A229" t="s">
        <v>437</v>
      </c>
      <c r="B229" t="s">
        <v>438</v>
      </c>
      <c r="C229">
        <v>30.330000000000002</v>
      </c>
      <c r="D229" t="s">
        <v>371</v>
      </c>
      <c r="E229" t="str">
        <f>CONCATENATE(J229,". ",N229)</f>
        <v>03. Drilling</v>
      </c>
      <c r="F229">
        <v>75</v>
      </c>
      <c r="G229" t="b">
        <v>1</v>
      </c>
      <c r="H229">
        <v>296</v>
      </c>
      <c r="J229" s="193" t="s">
        <v>188</v>
      </c>
      <c r="K229" s="188">
        <f>IFERROR(_xlfn.XLOOKUP(A229,[1]Fleet!A:A,[1]Fleet!E:E,""),"")</f>
        <v>3</v>
      </c>
      <c r="L229" s="188">
        <v>28.35</v>
      </c>
      <c r="M229" s="188" t="s">
        <v>438</v>
      </c>
      <c r="N229" s="188" t="s">
        <v>433</v>
      </c>
      <c r="O229">
        <v>243</v>
      </c>
      <c r="P229">
        <f>_xlfn.XLOOKUP(A229,'[1]Classic Net to delete'!D:D,'[1]Classic Net to delete'!AA:AA,0)</f>
        <v>296</v>
      </c>
      <c r="Q229">
        <v>72</v>
      </c>
    </row>
    <row r="230" spans="1:17" x14ac:dyDescent="0.25">
      <c r="A230" t="s">
        <v>540</v>
      </c>
      <c r="B230" t="s">
        <v>541</v>
      </c>
      <c r="C230">
        <v>37.450000000000003</v>
      </c>
      <c r="D230" t="s">
        <v>371</v>
      </c>
      <c r="E230" t="str">
        <f>CONCATENATE(J230,". ",N230)</f>
        <v>03. Drilling</v>
      </c>
      <c r="F230">
        <v>75</v>
      </c>
      <c r="G230" t="b">
        <v>1</v>
      </c>
      <c r="H230">
        <v>297</v>
      </c>
      <c r="J230" s="193" t="s">
        <v>188</v>
      </c>
      <c r="K230" s="188">
        <f>IFERROR(_xlfn.XLOOKUP(A230,[1]Fleet!A:A,[1]Fleet!E:E,""),"")</f>
        <v>32</v>
      </c>
      <c r="L230" s="188">
        <v>35</v>
      </c>
      <c r="M230" s="188" t="s">
        <v>542</v>
      </c>
      <c r="N230" s="188" t="s">
        <v>433</v>
      </c>
      <c r="O230">
        <v>231</v>
      </c>
      <c r="P230">
        <f>_xlfn.XLOOKUP(A230,'[1]Classic Net to delete'!D:D,'[1]Classic Net to delete'!AA:AA,0)</f>
        <v>297</v>
      </c>
      <c r="Q230">
        <v>73</v>
      </c>
    </row>
    <row r="231" spans="1:17" x14ac:dyDescent="0.25">
      <c r="A231" t="s">
        <v>434</v>
      </c>
      <c r="B231" t="s">
        <v>435</v>
      </c>
      <c r="C231">
        <v>58.82</v>
      </c>
      <c r="D231" t="s">
        <v>371</v>
      </c>
      <c r="E231" t="str">
        <f>CONCATENATE(J231,". ",N231)</f>
        <v>03. Drilling</v>
      </c>
      <c r="F231">
        <v>75</v>
      </c>
      <c r="G231" t="b">
        <v>1</v>
      </c>
      <c r="H231">
        <v>298</v>
      </c>
      <c r="J231" s="193" t="s">
        <v>188</v>
      </c>
      <c r="K231" s="188">
        <f>IFERROR(_xlfn.XLOOKUP(A231,[1]Fleet!A:A,[1]Fleet!E:E,""),"")</f>
        <v>4</v>
      </c>
      <c r="L231" s="188">
        <v>49.85</v>
      </c>
      <c r="M231" s="188" t="s">
        <v>436</v>
      </c>
      <c r="N231" s="188" t="s">
        <v>433</v>
      </c>
      <c r="O231">
        <v>259</v>
      </c>
      <c r="P231">
        <f>_xlfn.XLOOKUP(A231,'[1]Classic Net to delete'!D:D,'[1]Classic Net to delete'!AA:AA,0)</f>
        <v>298</v>
      </c>
      <c r="Q231">
        <v>74</v>
      </c>
    </row>
    <row r="232" spans="1:17" x14ac:dyDescent="0.25">
      <c r="A232" t="s">
        <v>1931</v>
      </c>
      <c r="B232" s="188" t="s">
        <v>1932</v>
      </c>
      <c r="C232">
        <v>10.540000000000001</v>
      </c>
      <c r="D232" t="s">
        <v>371</v>
      </c>
      <c r="E232" t="str">
        <f>CONCATENATE(J232,". ",N232)</f>
        <v>03. Drilling</v>
      </c>
      <c r="F232">
        <v>75</v>
      </c>
      <c r="G232" t="b">
        <v>1</v>
      </c>
      <c r="H232">
        <v>299</v>
      </c>
      <c r="J232" s="193" t="s">
        <v>188</v>
      </c>
      <c r="K232" s="188" t="str">
        <f>IFERROR(_xlfn.XLOOKUP(A232,[1]Fleet!A:A,[1]Fleet!E:E,""),"")</f>
        <v/>
      </c>
      <c r="L232" s="188">
        <v>9.8500000000000014</v>
      </c>
      <c r="M232" s="188" t="s">
        <v>1932</v>
      </c>
      <c r="N232" s="188" t="s">
        <v>433</v>
      </c>
      <c r="O232">
        <v>251</v>
      </c>
      <c r="P232">
        <f>_xlfn.XLOOKUP(A232,'[1]Classic Net to delete'!D:D,'[1]Classic Net to delete'!AA:AA,0)</f>
        <v>299</v>
      </c>
      <c r="Q232">
        <v>80</v>
      </c>
    </row>
    <row r="233" spans="1:17" x14ac:dyDescent="0.25">
      <c r="A233" t="s">
        <v>441</v>
      </c>
      <c r="B233" t="s">
        <v>442</v>
      </c>
      <c r="C233">
        <v>64.070000000000007</v>
      </c>
      <c r="D233" t="s">
        <v>371</v>
      </c>
      <c r="E233" t="str">
        <f>CONCATENATE(J233,". ",N233)</f>
        <v>03. Drilling</v>
      </c>
      <c r="F233">
        <v>75</v>
      </c>
      <c r="G233" t="b">
        <v>1</v>
      </c>
      <c r="H233">
        <v>301</v>
      </c>
      <c r="J233" s="193" t="s">
        <v>188</v>
      </c>
      <c r="K233" s="188">
        <f>IFERROR(_xlfn.XLOOKUP(A233,[1]Fleet!A:A,[1]Fleet!E:E,""),"")</f>
        <v>24</v>
      </c>
      <c r="L233" s="188">
        <v>54.300000000000004</v>
      </c>
      <c r="M233" s="188" t="s">
        <v>443</v>
      </c>
      <c r="N233" s="188" t="s">
        <v>433</v>
      </c>
      <c r="O233">
        <v>237</v>
      </c>
      <c r="P233">
        <f>_xlfn.XLOOKUP(A233,'[1]Classic Net to delete'!D:D,'[1]Classic Net to delete'!AA:AA,0)</f>
        <v>301</v>
      </c>
      <c r="Q233">
        <v>81</v>
      </c>
    </row>
    <row r="234" spans="1:17" x14ac:dyDescent="0.25">
      <c r="A234" t="s">
        <v>444</v>
      </c>
      <c r="B234" t="s">
        <v>445</v>
      </c>
      <c r="C234">
        <v>62.22</v>
      </c>
      <c r="D234" t="s">
        <v>371</v>
      </c>
      <c r="E234" t="str">
        <f>CONCATENATE(J234,". ",N234)</f>
        <v>03. Drilling</v>
      </c>
      <c r="F234">
        <v>75</v>
      </c>
      <c r="G234" t="b">
        <v>1</v>
      </c>
      <c r="H234">
        <v>302</v>
      </c>
      <c r="J234" s="193" t="s">
        <v>188</v>
      </c>
      <c r="K234" s="188">
        <f>IFERROR(_xlfn.XLOOKUP(A234,[1]Fleet!A:A,[1]Fleet!E:E,""),"")</f>
        <v>0</v>
      </c>
      <c r="L234" s="188">
        <v>58.150000000000006</v>
      </c>
      <c r="M234" s="188" t="s">
        <v>446</v>
      </c>
      <c r="N234" s="188" t="s">
        <v>433</v>
      </c>
      <c r="O234">
        <v>240</v>
      </c>
      <c r="P234">
        <f>_xlfn.XLOOKUP(A234,'[1]Classic Net to delete'!D:D,'[1]Classic Net to delete'!AA:AA,0)</f>
        <v>302</v>
      </c>
      <c r="Q234">
        <v>82</v>
      </c>
    </row>
    <row r="235" spans="1:17" x14ac:dyDescent="0.25">
      <c r="A235" t="s">
        <v>447</v>
      </c>
      <c r="B235" t="s">
        <v>448</v>
      </c>
      <c r="C235">
        <v>95.55</v>
      </c>
      <c r="D235" t="s">
        <v>371</v>
      </c>
      <c r="E235" t="str">
        <f>CONCATENATE(J235,". ",N235)</f>
        <v>03. Drilling</v>
      </c>
      <c r="F235">
        <v>75</v>
      </c>
      <c r="G235" t="b">
        <v>1</v>
      </c>
      <c r="H235">
        <v>303</v>
      </c>
      <c r="J235" s="193" t="s">
        <v>188</v>
      </c>
      <c r="K235" s="188">
        <f>IFERROR(_xlfn.XLOOKUP(A235,[1]Fleet!A:A,[1]Fleet!E:E,""),"")</f>
        <v>27</v>
      </c>
      <c r="L235" s="188">
        <v>63.7</v>
      </c>
      <c r="M235" s="188" t="s">
        <v>449</v>
      </c>
      <c r="N235" s="188" t="s">
        <v>433</v>
      </c>
      <c r="O235">
        <v>238</v>
      </c>
      <c r="P235">
        <f>_xlfn.XLOOKUP(A235,'[1]Classic Net to delete'!D:D,'[1]Classic Net to delete'!AA:AA,0)</f>
        <v>303</v>
      </c>
      <c r="Q235">
        <v>84</v>
      </c>
    </row>
    <row r="236" spans="1:17" x14ac:dyDescent="0.25">
      <c r="A236" t="s">
        <v>1933</v>
      </c>
      <c r="B236" s="188" t="s">
        <v>1934</v>
      </c>
      <c r="C236">
        <v>15.84</v>
      </c>
      <c r="D236" t="s">
        <v>371</v>
      </c>
      <c r="E236" t="str">
        <f>CONCATENATE(J236,". ",N236)</f>
        <v>03. Drilling</v>
      </c>
      <c r="F236">
        <v>75</v>
      </c>
      <c r="G236" t="b">
        <v>1</v>
      </c>
      <c r="H236">
        <v>304</v>
      </c>
      <c r="J236" s="193" t="s">
        <v>188</v>
      </c>
      <c r="K236" s="188" t="str">
        <f>IFERROR(_xlfn.XLOOKUP(A236,[1]Fleet!A:A,[1]Fleet!E:E,""),"")</f>
        <v/>
      </c>
      <c r="L236" s="188">
        <v>14.8</v>
      </c>
      <c r="M236" s="188" t="s">
        <v>1934</v>
      </c>
      <c r="N236" s="188" t="s">
        <v>433</v>
      </c>
      <c r="O236">
        <v>250</v>
      </c>
      <c r="P236">
        <f>_xlfn.XLOOKUP(A236,'[1]Classic Net to delete'!D:D,'[1]Classic Net to delete'!AA:AA,0)</f>
        <v>304</v>
      </c>
    </row>
    <row r="237" spans="1:17" x14ac:dyDescent="0.25">
      <c r="A237" t="s">
        <v>497</v>
      </c>
      <c r="B237" t="s">
        <v>498</v>
      </c>
      <c r="C237">
        <v>41.94</v>
      </c>
      <c r="D237" t="s">
        <v>371</v>
      </c>
      <c r="E237" t="str">
        <f>CONCATENATE(J237,". ",N237)</f>
        <v>03. Drilling</v>
      </c>
      <c r="F237">
        <v>75</v>
      </c>
      <c r="G237" t="b">
        <v>1</v>
      </c>
      <c r="H237">
        <v>308</v>
      </c>
      <c r="J237" s="193" t="s">
        <v>188</v>
      </c>
      <c r="K237" s="188">
        <f>IFERROR(_xlfn.XLOOKUP(A237,[1]Fleet!A:A,[1]Fleet!E:E,""),"")</f>
        <v>2</v>
      </c>
      <c r="L237" s="188">
        <v>39.200000000000003</v>
      </c>
      <c r="M237" s="188" t="s">
        <v>499</v>
      </c>
      <c r="N237" s="188" t="s">
        <v>433</v>
      </c>
      <c r="O237">
        <v>260</v>
      </c>
      <c r="P237">
        <f>_xlfn.XLOOKUP(A237,'[1]Classic Net to delete'!D:D,'[1]Classic Net to delete'!AA:AA,0)</f>
        <v>308</v>
      </c>
    </row>
    <row r="238" spans="1:17" x14ac:dyDescent="0.25">
      <c r="A238" t="s">
        <v>519</v>
      </c>
      <c r="B238" t="s">
        <v>520</v>
      </c>
      <c r="C238">
        <v>61.300000000000004</v>
      </c>
      <c r="D238" t="s">
        <v>371</v>
      </c>
      <c r="E238" t="str">
        <f>CONCATENATE(J238,". ",N238)</f>
        <v>03. Drilling</v>
      </c>
      <c r="F238">
        <v>75</v>
      </c>
      <c r="G238" t="b">
        <v>1</v>
      </c>
      <c r="H238">
        <v>309</v>
      </c>
      <c r="J238" s="193" t="s">
        <v>188</v>
      </c>
      <c r="K238" s="188">
        <f>IFERROR(_xlfn.XLOOKUP(A238,[1]Fleet!A:A,[1]Fleet!E:E,""),"")</f>
        <v>46</v>
      </c>
      <c r="L238" s="188">
        <v>47.150000000000006</v>
      </c>
      <c r="M238" s="188" t="s">
        <v>521</v>
      </c>
      <c r="N238" s="188" t="s">
        <v>433</v>
      </c>
      <c r="O238">
        <v>241</v>
      </c>
      <c r="P238">
        <f>_xlfn.XLOOKUP(A238,'[1]Classic Net to delete'!D:D,'[1]Classic Net to delete'!AA:AA,0)</f>
        <v>309</v>
      </c>
      <c r="Q238">
        <v>62</v>
      </c>
    </row>
    <row r="239" spans="1:17" x14ac:dyDescent="0.25">
      <c r="A239" t="s">
        <v>506</v>
      </c>
      <c r="B239" t="s">
        <v>507</v>
      </c>
      <c r="C239">
        <v>0</v>
      </c>
      <c r="D239" t="s">
        <v>371</v>
      </c>
      <c r="E239" t="str">
        <f>CONCATENATE(J239,". ",N239)</f>
        <v>03. Drilling</v>
      </c>
      <c r="F239">
        <v>75</v>
      </c>
      <c r="G239" t="b">
        <v>0</v>
      </c>
      <c r="H239">
        <v>310</v>
      </c>
      <c r="J239" s="193" t="s">
        <v>188</v>
      </c>
      <c r="K239" s="188">
        <f>IFERROR(_xlfn.XLOOKUP(A239,[1]Fleet!A:A,[1]Fleet!E:E,""),"")</f>
        <v>4</v>
      </c>
      <c r="L239" s="188">
        <v>54.300000000000004</v>
      </c>
      <c r="M239" s="188" t="s">
        <v>508</v>
      </c>
      <c r="N239" s="188" t="s">
        <v>433</v>
      </c>
      <c r="O239">
        <v>258</v>
      </c>
      <c r="P239">
        <f>_xlfn.XLOOKUP(A239,'[1]Classic Net to delete'!D:D,'[1]Classic Net to delete'!AA:AA,0)</f>
        <v>310</v>
      </c>
      <c r="Q239">
        <v>62</v>
      </c>
    </row>
    <row r="240" spans="1:17" x14ac:dyDescent="0.25">
      <c r="A240" t="s">
        <v>1939</v>
      </c>
      <c r="B240" s="188" t="s">
        <v>1940</v>
      </c>
      <c r="C240">
        <v>15.84</v>
      </c>
      <c r="D240" t="s">
        <v>371</v>
      </c>
      <c r="E240" t="str">
        <f>CONCATENATE(J240,". ",N240)</f>
        <v>03. Drilling</v>
      </c>
      <c r="F240">
        <v>75</v>
      </c>
      <c r="G240" t="b">
        <v>1</v>
      </c>
      <c r="H240">
        <v>581</v>
      </c>
      <c r="J240" s="193" t="s">
        <v>188</v>
      </c>
      <c r="K240" s="188" t="str">
        <f>IFERROR(_xlfn.XLOOKUP(A240,[1]Fleet!A:A,[1]Fleet!E:E,""),"")</f>
        <v/>
      </c>
      <c r="L240" s="188">
        <v>9.8500000000000014</v>
      </c>
      <c r="M240" s="188" t="s">
        <v>1940</v>
      </c>
      <c r="N240" s="188" t="s">
        <v>433</v>
      </c>
      <c r="O240">
        <v>248</v>
      </c>
      <c r="P240">
        <f>_xlfn.XLOOKUP(A240,'[1]Classic Net to delete'!D:D,'[1]Classic Net to delete'!AA:AA,0)</f>
        <v>581</v>
      </c>
      <c r="Q240">
        <v>32.1</v>
      </c>
    </row>
    <row r="241" spans="1:17" x14ac:dyDescent="0.25">
      <c r="A241" t="s">
        <v>1939</v>
      </c>
      <c r="B241" s="188" t="s">
        <v>1940</v>
      </c>
      <c r="C241">
        <v>15.84</v>
      </c>
      <c r="D241" t="s">
        <v>371</v>
      </c>
      <c r="E241" t="str">
        <f>CONCATENATE(J241,". ",N241)</f>
        <v>03. Drilling</v>
      </c>
      <c r="F241">
        <v>75</v>
      </c>
      <c r="G241" t="b">
        <v>0</v>
      </c>
      <c r="H241">
        <v>581</v>
      </c>
      <c r="J241" s="193" t="s">
        <v>188</v>
      </c>
      <c r="K241" s="188" t="str">
        <f>IFERROR(_xlfn.XLOOKUP(A241,[1]Fleet!A:A,[1]Fleet!E:E,""),"")</f>
        <v/>
      </c>
      <c r="L241" s="188">
        <v>9.8500000000000014</v>
      </c>
      <c r="M241" s="188" t="s">
        <v>1940</v>
      </c>
      <c r="N241" s="188" t="s">
        <v>433</v>
      </c>
      <c r="O241">
        <v>249</v>
      </c>
      <c r="P241">
        <f>_xlfn.XLOOKUP(A241,'[1]Classic Net to delete'!D:D,'[1]Classic Net to delete'!AA:AA,0)</f>
        <v>581</v>
      </c>
      <c r="Q241">
        <v>31</v>
      </c>
    </row>
    <row r="242" spans="1:17" x14ac:dyDescent="0.25">
      <c r="A242" t="s">
        <v>465</v>
      </c>
      <c r="B242" t="s">
        <v>466</v>
      </c>
      <c r="C242">
        <v>52.38</v>
      </c>
      <c r="D242" t="s">
        <v>371</v>
      </c>
      <c r="E242" t="str">
        <f>CONCATENATE(J242,". ",N242)</f>
        <v xml:space="preserve">07. Specialty </v>
      </c>
      <c r="F242">
        <v>75</v>
      </c>
      <c r="G242" t="b">
        <v>1</v>
      </c>
      <c r="H242">
        <v>315</v>
      </c>
      <c r="J242" s="193" t="s">
        <v>194</v>
      </c>
      <c r="K242" s="188">
        <f>IFERROR(_xlfn.XLOOKUP(A242,[1]Fleet!A:A,[1]Fleet!E:E,""),"")</f>
        <v>11</v>
      </c>
      <c r="L242" s="188">
        <v>48.95</v>
      </c>
      <c r="M242" s="188" t="s">
        <v>467</v>
      </c>
      <c r="N242" s="188" t="s">
        <v>363</v>
      </c>
      <c r="O242">
        <v>262</v>
      </c>
      <c r="P242">
        <f>_xlfn.XLOOKUP(A242,'[1]Classic Net to delete'!D:D,'[1]Classic Net to delete'!AA:AA,0)</f>
        <v>315</v>
      </c>
      <c r="Q242">
        <v>21</v>
      </c>
    </row>
    <row r="243" spans="1:17" x14ac:dyDescent="0.25">
      <c r="A243" t="s">
        <v>474</v>
      </c>
      <c r="B243" t="s">
        <v>475</v>
      </c>
      <c r="C243">
        <v>107.21000000000001</v>
      </c>
      <c r="D243" t="s">
        <v>371</v>
      </c>
      <c r="E243" t="str">
        <f>CONCATENATE(J243,". ",N243)</f>
        <v xml:space="preserve">07. Specialty </v>
      </c>
      <c r="F243">
        <v>75</v>
      </c>
      <c r="G243" t="b">
        <v>1</v>
      </c>
      <c r="H243">
        <v>316</v>
      </c>
      <c r="J243" s="193" t="s">
        <v>194</v>
      </c>
      <c r="K243" s="188">
        <f>IFERROR(_xlfn.XLOOKUP(A243,[1]Fleet!A:A,[1]Fleet!E:E,""),"")</f>
        <v>9</v>
      </c>
      <c r="L243" s="188">
        <v>100.2</v>
      </c>
      <c r="M243" s="188" t="s">
        <v>476</v>
      </c>
      <c r="N243" s="188" t="s">
        <v>363</v>
      </c>
      <c r="O243">
        <v>272</v>
      </c>
      <c r="P243">
        <f>_xlfn.XLOOKUP(A243,'[1]Classic Net to delete'!D:D,'[1]Classic Net to delete'!AA:AA,0)</f>
        <v>316</v>
      </c>
      <c r="Q243">
        <v>40.1</v>
      </c>
    </row>
    <row r="244" spans="1:17" x14ac:dyDescent="0.25">
      <c r="A244" t="s">
        <v>477</v>
      </c>
      <c r="B244" t="s">
        <v>478</v>
      </c>
      <c r="C244">
        <v>82.02</v>
      </c>
      <c r="D244" t="s">
        <v>371</v>
      </c>
      <c r="E244" t="str">
        <f>CONCATENATE(J244,". ",N244)</f>
        <v xml:space="preserve">07. Specialty </v>
      </c>
      <c r="F244">
        <v>75</v>
      </c>
      <c r="G244" t="b">
        <v>1</v>
      </c>
      <c r="H244">
        <v>317</v>
      </c>
      <c r="J244" s="193" t="s">
        <v>194</v>
      </c>
      <c r="K244" s="188">
        <f>IFERROR(_xlfn.XLOOKUP(A244,[1]Fleet!A:A,[1]Fleet!E:E,""),"")</f>
        <v>6</v>
      </c>
      <c r="L244" s="188">
        <v>76.650000000000006</v>
      </c>
      <c r="M244" s="188" t="s">
        <v>479</v>
      </c>
      <c r="N244" s="188" t="s">
        <v>363</v>
      </c>
      <c r="O244">
        <v>273</v>
      </c>
      <c r="P244">
        <f>_xlfn.XLOOKUP(A244,'[1]Classic Net to delete'!D:D,'[1]Classic Net to delete'!AA:AA,0)</f>
        <v>317</v>
      </c>
      <c r="Q244">
        <v>36</v>
      </c>
    </row>
    <row r="245" spans="1:17" x14ac:dyDescent="0.25">
      <c r="A245" t="s">
        <v>468</v>
      </c>
      <c r="B245" t="s">
        <v>469</v>
      </c>
      <c r="C245">
        <v>130.80000000000001</v>
      </c>
      <c r="D245" t="s">
        <v>371</v>
      </c>
      <c r="E245" t="str">
        <f>CONCATENATE(J245,". ",N245)</f>
        <v xml:space="preserve">07. Specialty </v>
      </c>
      <c r="F245">
        <v>75</v>
      </c>
      <c r="G245" t="b">
        <v>1</v>
      </c>
      <c r="H245">
        <v>318</v>
      </c>
      <c r="J245" s="193" t="s">
        <v>194</v>
      </c>
      <c r="K245" s="188">
        <f>IFERROR(_xlfn.XLOOKUP(A245,[1]Fleet!A:A,[1]Fleet!E:E,""),"")</f>
        <v>12</v>
      </c>
      <c r="L245" s="188">
        <v>110.85000000000001</v>
      </c>
      <c r="M245" s="188" t="s">
        <v>470</v>
      </c>
      <c r="N245" s="188" t="s">
        <v>363</v>
      </c>
      <c r="O245">
        <v>263</v>
      </c>
      <c r="P245">
        <f>_xlfn.XLOOKUP(A245,'[1]Classic Net to delete'!D:D,'[1]Classic Net to delete'!AA:AA,0)</f>
        <v>318</v>
      </c>
      <c r="Q245">
        <v>33</v>
      </c>
    </row>
    <row r="246" spans="1:17" x14ac:dyDescent="0.25">
      <c r="A246" t="s">
        <v>1901</v>
      </c>
      <c r="B246" t="s">
        <v>1902</v>
      </c>
      <c r="C246">
        <v>17.71</v>
      </c>
      <c r="D246" t="s">
        <v>371</v>
      </c>
      <c r="E246" t="str">
        <f>CONCATENATE(J246,". ",N246)</f>
        <v xml:space="preserve">07. Specialty </v>
      </c>
      <c r="F246">
        <v>75</v>
      </c>
      <c r="G246" t="b">
        <v>1</v>
      </c>
      <c r="H246">
        <v>319</v>
      </c>
      <c r="J246" s="193" t="s">
        <v>194</v>
      </c>
      <c r="K246" s="188" t="str">
        <f>IFERROR(_xlfn.XLOOKUP(A246,[1]Fleet!A:A,[1]Fleet!E:E,""),"")</f>
        <v/>
      </c>
      <c r="L246" s="188">
        <v>16.55</v>
      </c>
      <c r="M246" s="188" t="s">
        <v>1903</v>
      </c>
      <c r="N246" s="188" t="s">
        <v>363</v>
      </c>
      <c r="O246">
        <v>261</v>
      </c>
      <c r="P246">
        <f>_xlfn.XLOOKUP(A246,'[1]Classic Net to delete'!D:D,'[1]Classic Net to delete'!AA:AA,0)</f>
        <v>319</v>
      </c>
      <c r="Q246">
        <v>34</v>
      </c>
    </row>
    <row r="247" spans="1:17" x14ac:dyDescent="0.25">
      <c r="A247" t="s">
        <v>471</v>
      </c>
      <c r="B247" t="s">
        <v>472</v>
      </c>
      <c r="C247">
        <v>282.37</v>
      </c>
      <c r="D247" t="s">
        <v>371</v>
      </c>
      <c r="E247" t="str">
        <f>CONCATENATE(J247,". ",N247)</f>
        <v xml:space="preserve">07. Specialty </v>
      </c>
      <c r="F247">
        <v>75</v>
      </c>
      <c r="G247" t="b">
        <v>1</v>
      </c>
      <c r="H247">
        <v>321</v>
      </c>
      <c r="J247" s="193" t="s">
        <v>194</v>
      </c>
      <c r="K247" s="188">
        <f>IFERROR(_xlfn.XLOOKUP(A247,[1]Fleet!A:A,[1]Fleet!E:E,""),"")</f>
        <v>9</v>
      </c>
      <c r="L247" s="188">
        <v>263.90000000000003</v>
      </c>
      <c r="M247" s="188" t="s">
        <v>473</v>
      </c>
      <c r="N247" s="188" t="s">
        <v>363</v>
      </c>
      <c r="O247">
        <v>264</v>
      </c>
      <c r="P247">
        <f>_xlfn.XLOOKUP(A247,'[1]Classic Net to delete'!D:D,'[1]Classic Net to delete'!AA:AA,0)</f>
        <v>321</v>
      </c>
      <c r="Q247">
        <v>22</v>
      </c>
    </row>
    <row r="248" spans="1:17" x14ac:dyDescent="0.25">
      <c r="A248" t="s">
        <v>528</v>
      </c>
      <c r="B248" t="s">
        <v>529</v>
      </c>
      <c r="C248">
        <v>61.2</v>
      </c>
      <c r="D248" t="s">
        <v>371</v>
      </c>
      <c r="E248" t="str">
        <f>CONCATENATE(J248,". ",N248)</f>
        <v xml:space="preserve">07. Specialty </v>
      </c>
      <c r="F248">
        <v>75</v>
      </c>
      <c r="G248" t="b">
        <v>1</v>
      </c>
      <c r="H248">
        <v>322</v>
      </c>
      <c r="J248" s="193" t="s">
        <v>194</v>
      </c>
      <c r="K248" s="188">
        <f>IFERROR(_xlfn.XLOOKUP(A248,[1]Fleet!A:A,[1]Fleet!E:E,""),"")</f>
        <v>2</v>
      </c>
      <c r="L248" s="188">
        <v>57.2</v>
      </c>
      <c r="M248" s="188" t="s">
        <v>530</v>
      </c>
      <c r="N248" s="188" t="s">
        <v>363</v>
      </c>
      <c r="O248">
        <v>266</v>
      </c>
      <c r="P248">
        <f>_xlfn.XLOOKUP(A248,'[1]Classic Net to delete'!D:D,'[1]Classic Net to delete'!AA:AA,0)</f>
        <v>322</v>
      </c>
      <c r="Q248">
        <v>37</v>
      </c>
    </row>
    <row r="249" spans="1:17" x14ac:dyDescent="0.25">
      <c r="A249" t="s">
        <v>480</v>
      </c>
      <c r="B249" t="s">
        <v>481</v>
      </c>
      <c r="C249">
        <v>25.150000000000002</v>
      </c>
      <c r="D249" t="s">
        <v>371</v>
      </c>
      <c r="E249" t="str">
        <f>CONCATENATE(J249,". ",N249)</f>
        <v xml:space="preserve">07. Specialty </v>
      </c>
      <c r="F249">
        <v>75</v>
      </c>
      <c r="G249" t="b">
        <v>1</v>
      </c>
      <c r="H249">
        <v>323</v>
      </c>
      <c r="J249" s="193" t="s">
        <v>194</v>
      </c>
      <c r="K249" s="188">
        <f>IFERROR(_xlfn.XLOOKUP(A249,[1]Fleet!A:A,[1]Fleet!E:E,""),"")</f>
        <v>36</v>
      </c>
      <c r="L249" s="188">
        <v>23.5</v>
      </c>
      <c r="M249" s="188" t="s">
        <v>482</v>
      </c>
      <c r="N249" s="188" t="s">
        <v>363</v>
      </c>
      <c r="O249">
        <v>270</v>
      </c>
      <c r="P249">
        <f>_xlfn.XLOOKUP(A249,'[1]Classic Net to delete'!D:D,'[1]Classic Net to delete'!AA:AA,0)</f>
        <v>323</v>
      </c>
      <c r="Q249">
        <v>38</v>
      </c>
    </row>
    <row r="250" spans="1:17" x14ac:dyDescent="0.25">
      <c r="A250" t="s">
        <v>500</v>
      </c>
      <c r="B250" t="s">
        <v>501</v>
      </c>
      <c r="C250">
        <v>126.21000000000001</v>
      </c>
      <c r="D250" t="s">
        <v>371</v>
      </c>
      <c r="E250" t="str">
        <f>CONCATENATE(J250,". ",N250)</f>
        <v xml:space="preserve">07. Specialty </v>
      </c>
      <c r="F250">
        <v>75</v>
      </c>
      <c r="G250" t="b">
        <v>1</v>
      </c>
      <c r="H250">
        <v>326</v>
      </c>
      <c r="J250" s="193" t="s">
        <v>194</v>
      </c>
      <c r="K250" s="188">
        <f>IFERROR(_xlfn.XLOOKUP(A250,[1]Fleet!A:A,[1]Fleet!E:E,""),"")</f>
        <v>20</v>
      </c>
      <c r="L250" s="188">
        <v>117.95</v>
      </c>
      <c r="M250" s="188" t="s">
        <v>501</v>
      </c>
      <c r="N250" s="188" t="s">
        <v>363</v>
      </c>
      <c r="O250">
        <v>265</v>
      </c>
      <c r="P250">
        <f>_xlfn.XLOOKUP(A250,'[1]Classic Net to delete'!D:D,'[1]Classic Net to delete'!AA:AA,0)</f>
        <v>326</v>
      </c>
      <c r="Q250">
        <v>39</v>
      </c>
    </row>
    <row r="251" spans="1:17" x14ac:dyDescent="0.25">
      <c r="A251" t="s">
        <v>502</v>
      </c>
      <c r="B251" t="s">
        <v>503</v>
      </c>
      <c r="C251">
        <v>148.62</v>
      </c>
      <c r="D251" t="s">
        <v>371</v>
      </c>
      <c r="E251" t="str">
        <f>CONCATENATE(J251,". ",N251)</f>
        <v xml:space="preserve">07. Specialty </v>
      </c>
      <c r="F251">
        <v>75</v>
      </c>
      <c r="G251" t="b">
        <v>1</v>
      </c>
      <c r="H251">
        <v>327</v>
      </c>
      <c r="J251" s="193" t="s">
        <v>194</v>
      </c>
      <c r="K251" s="188">
        <f>IFERROR(_xlfn.XLOOKUP(A251,[1]Fleet!A:A,[1]Fleet!E:E,""),"")</f>
        <v>12</v>
      </c>
      <c r="L251" s="188">
        <v>138.9</v>
      </c>
      <c r="M251" s="188" t="s">
        <v>503</v>
      </c>
      <c r="N251" s="188" t="s">
        <v>363</v>
      </c>
      <c r="O251">
        <v>269</v>
      </c>
      <c r="P251">
        <f>_xlfn.XLOOKUP(A251,'[1]Classic Net to delete'!D:D,'[1]Classic Net to delete'!AA:AA,0)</f>
        <v>327</v>
      </c>
      <c r="Q251">
        <v>39.1</v>
      </c>
    </row>
    <row r="252" spans="1:17" x14ac:dyDescent="0.25">
      <c r="A252" t="s">
        <v>390</v>
      </c>
      <c r="B252" t="s">
        <v>391</v>
      </c>
      <c r="C252">
        <v>79.180000000000007</v>
      </c>
      <c r="D252" t="s">
        <v>371</v>
      </c>
      <c r="E252" t="s">
        <v>315</v>
      </c>
      <c r="F252">
        <v>75</v>
      </c>
      <c r="G252" t="b">
        <v>0</v>
      </c>
      <c r="H252">
        <v>0</v>
      </c>
      <c r="K252" s="188" t="str">
        <f>IFERROR(_xlfn.XLOOKUP(A252,[1]Fleet!A:A,[1]Fleet!E:E,""),"")</f>
        <v/>
      </c>
      <c r="L252" s="188" t="s">
        <v>76</v>
      </c>
      <c r="M252" s="188" t="s">
        <v>76</v>
      </c>
      <c r="N252" s="188" t="s">
        <v>315</v>
      </c>
      <c r="O252">
        <v>209</v>
      </c>
      <c r="P252">
        <f>_xlfn.XLOOKUP(A252,'[1]Classic Net to delete'!D:D,'[1]Classic Net to delete'!AA:AA,0)</f>
        <v>0</v>
      </c>
      <c r="Q252">
        <v>20</v>
      </c>
    </row>
    <row r="253" spans="1:17" x14ac:dyDescent="0.25">
      <c r="A253" t="s">
        <v>395</v>
      </c>
      <c r="B253" t="s">
        <v>396</v>
      </c>
      <c r="C253">
        <v>119.84</v>
      </c>
      <c r="D253" t="s">
        <v>371</v>
      </c>
      <c r="E253" t="s">
        <v>315</v>
      </c>
      <c r="F253">
        <v>75</v>
      </c>
      <c r="G253" t="b">
        <v>0</v>
      </c>
      <c r="H253">
        <v>0</v>
      </c>
      <c r="K253" s="188">
        <f>IFERROR(_xlfn.XLOOKUP(A253,[1]Fleet!A:A,[1]Fleet!E:E,""),"")</f>
        <v>3</v>
      </c>
      <c r="L253" s="188" t="s">
        <v>76</v>
      </c>
      <c r="M253" s="188" t="s">
        <v>76</v>
      </c>
      <c r="N253" s="188" t="s">
        <v>315</v>
      </c>
      <c r="O253">
        <v>213</v>
      </c>
      <c r="P253">
        <f>_xlfn.XLOOKUP(A253,'[1]Classic Net to delete'!D:D,'[1]Classic Net to delete'!AA:AA,0)</f>
        <v>0</v>
      </c>
      <c r="Q253">
        <v>21</v>
      </c>
    </row>
    <row r="254" spans="1:17" x14ac:dyDescent="0.25">
      <c r="A254" t="s">
        <v>509</v>
      </c>
      <c r="B254" t="s">
        <v>510</v>
      </c>
      <c r="C254">
        <v>138.46</v>
      </c>
      <c r="D254" t="s">
        <v>371</v>
      </c>
      <c r="E254" t="s">
        <v>315</v>
      </c>
      <c r="F254">
        <v>75</v>
      </c>
      <c r="G254" t="b">
        <v>0</v>
      </c>
      <c r="H254">
        <v>0</v>
      </c>
      <c r="K254" s="188">
        <f>IFERROR(_xlfn.XLOOKUP(A254,[1]Fleet!A:A,[1]Fleet!E:E,""),"")</f>
        <v>0</v>
      </c>
      <c r="L254" s="188" t="s">
        <v>76</v>
      </c>
      <c r="M254" s="188" t="s">
        <v>76</v>
      </c>
      <c r="N254" s="188" t="s">
        <v>315</v>
      </c>
      <c r="O254">
        <v>255</v>
      </c>
      <c r="P254">
        <f>_xlfn.XLOOKUP(A254,'[1]Classic Net to delete'!D:D,'[1]Classic Net to delete'!AA:AA,0)</f>
        <v>0</v>
      </c>
      <c r="Q254">
        <v>23</v>
      </c>
    </row>
    <row r="255" spans="1:17" x14ac:dyDescent="0.25">
      <c r="A255" t="s">
        <v>517</v>
      </c>
      <c r="B255" t="s">
        <v>518</v>
      </c>
      <c r="C255">
        <v>138.46</v>
      </c>
      <c r="D255" t="s">
        <v>371</v>
      </c>
      <c r="E255" t="s">
        <v>315</v>
      </c>
      <c r="F255">
        <v>75</v>
      </c>
      <c r="G255" t="b">
        <v>0</v>
      </c>
      <c r="H255">
        <v>0</v>
      </c>
      <c r="K255" s="188">
        <f>IFERROR(_xlfn.XLOOKUP(A255,[1]Fleet!A:A,[1]Fleet!E:E,""),"")</f>
        <v>3</v>
      </c>
      <c r="L255" s="188" t="s">
        <v>76</v>
      </c>
      <c r="M255" s="188" t="s">
        <v>76</v>
      </c>
      <c r="N255" s="188" t="s">
        <v>315</v>
      </c>
      <c r="O255">
        <v>217</v>
      </c>
      <c r="P255">
        <f>_xlfn.XLOOKUP(A255,'[1]Classic Net to delete'!D:D,'[1]Classic Net to delete'!AA:AA,0)</f>
        <v>0</v>
      </c>
      <c r="Q255">
        <v>22</v>
      </c>
    </row>
    <row r="256" spans="1:17" x14ac:dyDescent="0.25">
      <c r="A256" t="s">
        <v>369</v>
      </c>
      <c r="B256" t="s">
        <v>370</v>
      </c>
      <c r="C256">
        <v>0</v>
      </c>
      <c r="D256" t="s">
        <v>371</v>
      </c>
      <c r="E256" t="s">
        <v>315</v>
      </c>
      <c r="F256">
        <v>75</v>
      </c>
      <c r="G256" t="b">
        <v>0</v>
      </c>
      <c r="H256">
        <v>264</v>
      </c>
      <c r="K256" s="188">
        <f>IFERROR(_xlfn.XLOOKUP(A256,[1]Fleet!A:A,[1]Fleet!E:E,""),"")</f>
        <v>0</v>
      </c>
      <c r="L256" s="188">
        <v>48.95</v>
      </c>
      <c r="M256" s="188" t="s">
        <v>372</v>
      </c>
      <c r="N256" s="188" t="s">
        <v>315</v>
      </c>
      <c r="O256">
        <v>253</v>
      </c>
      <c r="P256">
        <f>_xlfn.XLOOKUP(A256,'[1]Classic Net to delete'!D:D,'[1]Classic Net to delete'!AA:AA,0)</f>
        <v>264</v>
      </c>
      <c r="Q256">
        <v>30</v>
      </c>
    </row>
    <row r="257" spans="1:17" x14ac:dyDescent="0.25">
      <c r="A257" t="s">
        <v>384</v>
      </c>
      <c r="B257" t="s">
        <v>385</v>
      </c>
      <c r="C257">
        <v>75.7</v>
      </c>
      <c r="D257" t="s">
        <v>371</v>
      </c>
      <c r="E257" t="s">
        <v>315</v>
      </c>
      <c r="F257">
        <v>75</v>
      </c>
      <c r="G257" t="b">
        <v>0</v>
      </c>
      <c r="H257">
        <v>270</v>
      </c>
      <c r="K257" s="188">
        <f>IFERROR(_xlfn.XLOOKUP(A257,[1]Fleet!A:A,[1]Fleet!E:E,""),"")</f>
        <v>1</v>
      </c>
      <c r="L257" s="188">
        <v>70.75</v>
      </c>
      <c r="M257" s="188" t="s">
        <v>386</v>
      </c>
      <c r="N257" s="188" t="s">
        <v>315</v>
      </c>
      <c r="O257">
        <v>254</v>
      </c>
      <c r="P257">
        <f>_xlfn.XLOOKUP(A257,'[1]Classic Net to delete'!D:D,'[1]Classic Net to delete'!AA:AA,0)</f>
        <v>270</v>
      </c>
      <c r="Q257">
        <v>35</v>
      </c>
    </row>
    <row r="258" spans="1:17" x14ac:dyDescent="0.25">
      <c r="A258" t="s">
        <v>514</v>
      </c>
      <c r="B258" t="s">
        <v>515</v>
      </c>
      <c r="C258">
        <v>232.92000000000002</v>
      </c>
      <c r="D258" t="s">
        <v>371</v>
      </c>
      <c r="E258" t="s">
        <v>315</v>
      </c>
      <c r="F258">
        <v>75</v>
      </c>
      <c r="G258" t="b">
        <v>0</v>
      </c>
      <c r="H258">
        <v>276</v>
      </c>
      <c r="K258" s="188">
        <f>IFERROR(_xlfn.XLOOKUP(A258,[1]Fleet!A:A,[1]Fleet!E:E,""),"")</f>
        <v>2</v>
      </c>
      <c r="L258" s="188">
        <v>129.4</v>
      </c>
      <c r="M258" s="188" t="s">
        <v>516</v>
      </c>
      <c r="N258" s="188" t="s">
        <v>315</v>
      </c>
      <c r="O258">
        <v>215</v>
      </c>
      <c r="P258">
        <f>_xlfn.XLOOKUP(A258,'[1]Classic Net to delete'!D:D,'[1]Classic Net to delete'!AA:AA,0)</f>
        <v>276</v>
      </c>
      <c r="Q258">
        <v>38.1</v>
      </c>
    </row>
    <row r="259" spans="1:17" x14ac:dyDescent="0.25">
      <c r="A259" t="s">
        <v>410</v>
      </c>
      <c r="B259" t="s">
        <v>411</v>
      </c>
      <c r="C259">
        <v>65.27</v>
      </c>
      <c r="D259" t="s">
        <v>371</v>
      </c>
      <c r="E259" t="s">
        <v>406</v>
      </c>
      <c r="F259">
        <v>75</v>
      </c>
      <c r="G259" t="b">
        <v>0</v>
      </c>
      <c r="H259">
        <v>0</v>
      </c>
      <c r="K259" s="188">
        <f>IFERROR(_xlfn.XLOOKUP(A259,[1]Fleet!A:A,[1]Fleet!E:E,""),"")</f>
        <v>3</v>
      </c>
      <c r="L259" s="188" t="s">
        <v>76</v>
      </c>
      <c r="M259" s="188" t="s">
        <v>76</v>
      </c>
      <c r="N259" s="188" t="s">
        <v>406</v>
      </c>
      <c r="O259">
        <v>225</v>
      </c>
      <c r="P259">
        <f>_xlfn.XLOOKUP(A259,'[1]Classic Net to delete'!D:D,'[1]Classic Net to delete'!AA:AA,0)</f>
        <v>0</v>
      </c>
      <c r="Q259">
        <v>46</v>
      </c>
    </row>
    <row r="260" spans="1:17" x14ac:dyDescent="0.25">
      <c r="A260" t="s">
        <v>415</v>
      </c>
      <c r="B260" t="s">
        <v>416</v>
      </c>
      <c r="C260">
        <v>76.7</v>
      </c>
      <c r="D260" t="s">
        <v>371</v>
      </c>
      <c r="E260" t="s">
        <v>406</v>
      </c>
      <c r="F260">
        <v>75</v>
      </c>
      <c r="G260" t="b">
        <v>0</v>
      </c>
      <c r="H260">
        <v>0</v>
      </c>
      <c r="K260" s="188">
        <f>IFERROR(_xlfn.XLOOKUP(A260,[1]Fleet!A:A,[1]Fleet!E:E,""),"")</f>
        <v>2</v>
      </c>
      <c r="L260" s="188" t="s">
        <v>76</v>
      </c>
      <c r="M260" s="188" t="s">
        <v>76</v>
      </c>
      <c r="N260" s="188" t="s">
        <v>406</v>
      </c>
      <c r="O260">
        <v>222</v>
      </c>
      <c r="P260">
        <f>_xlfn.XLOOKUP(A260,'[1]Classic Net to delete'!D:D,'[1]Classic Net to delete'!AA:AA,0)</f>
        <v>0</v>
      </c>
      <c r="Q260">
        <v>44</v>
      </c>
    </row>
    <row r="261" spans="1:17" x14ac:dyDescent="0.25">
      <c r="A261" t="s">
        <v>417</v>
      </c>
      <c r="B261" t="s">
        <v>418</v>
      </c>
      <c r="C261">
        <v>0</v>
      </c>
      <c r="D261" t="s">
        <v>371</v>
      </c>
      <c r="E261" t="s">
        <v>406</v>
      </c>
      <c r="F261">
        <v>75</v>
      </c>
      <c r="G261" t="b">
        <v>0</v>
      </c>
      <c r="H261">
        <v>0</v>
      </c>
      <c r="K261" s="188">
        <f>IFERROR(_xlfn.XLOOKUP(A261,[1]Fleet!A:A,[1]Fleet!E:E,""),"")</f>
        <v>11</v>
      </c>
      <c r="L261" s="188" t="s">
        <v>76</v>
      </c>
      <c r="M261" s="188" t="s">
        <v>76</v>
      </c>
      <c r="N261" s="188" t="s">
        <v>406</v>
      </c>
      <c r="O261">
        <v>224</v>
      </c>
      <c r="P261">
        <f>_xlfn.XLOOKUP(A261,'[1]Classic Net to delete'!D:D,'[1]Classic Net to delete'!AA:AA,0)</f>
        <v>0</v>
      </c>
      <c r="Q261">
        <v>45</v>
      </c>
    </row>
    <row r="262" spans="1:17" x14ac:dyDescent="0.25">
      <c r="A262" t="s">
        <v>453</v>
      </c>
      <c r="B262" t="s">
        <v>454</v>
      </c>
      <c r="C262">
        <v>35.68</v>
      </c>
      <c r="D262" t="s">
        <v>371</v>
      </c>
      <c r="E262" t="s">
        <v>433</v>
      </c>
      <c r="F262">
        <v>75</v>
      </c>
      <c r="G262" t="b">
        <v>0</v>
      </c>
      <c r="H262">
        <v>0</v>
      </c>
      <c r="K262" s="188">
        <f>IFERROR(_xlfn.XLOOKUP(A262,[1]Fleet!A:A,[1]Fleet!E:E,""),"")</f>
        <v>3</v>
      </c>
      <c r="L262" s="188" t="s">
        <v>76</v>
      </c>
      <c r="M262" s="188" t="s">
        <v>76</v>
      </c>
      <c r="N262" s="188" t="s">
        <v>363</v>
      </c>
      <c r="O262">
        <v>268</v>
      </c>
      <c r="P262">
        <f>_xlfn.XLOOKUP(A262,'[1]Classic Net to delete'!D:D,'[1]Classic Net to delete'!AA:AA,0)</f>
        <v>0</v>
      </c>
      <c r="Q262">
        <v>56</v>
      </c>
    </row>
    <row r="263" spans="1:17" x14ac:dyDescent="0.25">
      <c r="A263" t="s">
        <v>457</v>
      </c>
      <c r="B263" t="s">
        <v>458</v>
      </c>
      <c r="C263">
        <v>108.29</v>
      </c>
      <c r="D263" t="s">
        <v>371</v>
      </c>
      <c r="E263" t="s">
        <v>433</v>
      </c>
      <c r="F263">
        <v>75</v>
      </c>
      <c r="G263" t="b">
        <v>0</v>
      </c>
      <c r="H263">
        <v>0</v>
      </c>
      <c r="K263" s="188">
        <f>IFERROR(_xlfn.XLOOKUP(A263,[1]Fleet!A:A,[1]Fleet!E:E,""),"")</f>
        <v>14</v>
      </c>
      <c r="L263" s="188" t="s">
        <v>76</v>
      </c>
      <c r="M263" s="188" t="s">
        <v>76</v>
      </c>
      <c r="N263" s="188" t="s">
        <v>433</v>
      </c>
      <c r="O263">
        <v>235</v>
      </c>
      <c r="P263">
        <f>_xlfn.XLOOKUP(A263,'[1]Classic Net to delete'!D:D,'[1]Classic Net to delete'!AA:AA,0)</f>
        <v>0</v>
      </c>
      <c r="Q263">
        <v>53</v>
      </c>
    </row>
    <row r="264" spans="1:17" x14ac:dyDescent="0.25">
      <c r="A264" t="s">
        <v>459</v>
      </c>
      <c r="B264" t="s">
        <v>460</v>
      </c>
      <c r="C264">
        <v>47.03</v>
      </c>
      <c r="D264" t="s">
        <v>371</v>
      </c>
      <c r="E264" t="s">
        <v>433</v>
      </c>
      <c r="F264">
        <v>75</v>
      </c>
      <c r="G264" t="b">
        <v>0</v>
      </c>
      <c r="H264">
        <v>0</v>
      </c>
      <c r="K264" s="188">
        <f>IFERROR(_xlfn.XLOOKUP(A264,[1]Fleet!A:A,[1]Fleet!E:E,""),"")</f>
        <v>6</v>
      </c>
      <c r="L264" s="188" t="s">
        <v>76</v>
      </c>
      <c r="M264" s="188" t="s">
        <v>76</v>
      </c>
      <c r="N264" s="188" t="s">
        <v>433</v>
      </c>
      <c r="O264">
        <v>245</v>
      </c>
      <c r="P264">
        <f>_xlfn.XLOOKUP(A264,'[1]Classic Net to delete'!D:D,'[1]Classic Net to delete'!AA:AA,0)</f>
        <v>0</v>
      </c>
      <c r="Q264">
        <v>55</v>
      </c>
    </row>
    <row r="265" spans="1:17" x14ac:dyDescent="0.25">
      <c r="A265" t="s">
        <v>522</v>
      </c>
      <c r="B265" t="s">
        <v>523</v>
      </c>
      <c r="C265">
        <v>70.62</v>
      </c>
      <c r="D265" t="s">
        <v>371</v>
      </c>
      <c r="E265" t="s">
        <v>433</v>
      </c>
      <c r="F265">
        <v>75</v>
      </c>
      <c r="G265" t="b">
        <v>0</v>
      </c>
      <c r="H265">
        <v>0</v>
      </c>
      <c r="K265" s="188" t="str">
        <f>IFERROR(_xlfn.XLOOKUP(A265,[1]Fleet!A:A,[1]Fleet!E:E,""),"")</f>
        <v/>
      </c>
      <c r="L265" s="188" t="s">
        <v>76</v>
      </c>
      <c r="M265" s="188" t="s">
        <v>76</v>
      </c>
      <c r="N265" s="188" t="s">
        <v>433</v>
      </c>
      <c r="O265">
        <v>236</v>
      </c>
      <c r="P265">
        <f>_xlfn.XLOOKUP(A265,'[1]Classic Net to delete'!D:D,'[1]Classic Net to delete'!AA:AA,0)</f>
        <v>0</v>
      </c>
      <c r="Q265">
        <v>54</v>
      </c>
    </row>
    <row r="266" spans="1:17" x14ac:dyDescent="0.25">
      <c r="A266" t="s">
        <v>549</v>
      </c>
      <c r="B266" t="s">
        <v>550</v>
      </c>
      <c r="C266">
        <v>62.22</v>
      </c>
      <c r="D266" t="s">
        <v>371</v>
      </c>
      <c r="E266" t="s">
        <v>433</v>
      </c>
      <c r="F266">
        <v>75</v>
      </c>
      <c r="G266" t="b">
        <v>0</v>
      </c>
      <c r="H266">
        <v>0</v>
      </c>
      <c r="K266" s="188">
        <f>IFERROR(_xlfn.XLOOKUP(A266,[1]Fleet!A:A,[1]Fleet!E:E,""),"")</f>
        <v>4</v>
      </c>
      <c r="L266" s="188" t="s">
        <v>76</v>
      </c>
      <c r="M266" s="188" t="s">
        <v>76</v>
      </c>
      <c r="N266" s="188" t="s">
        <v>433</v>
      </c>
      <c r="O266">
        <v>234</v>
      </c>
      <c r="P266">
        <f>_xlfn.XLOOKUP(A266,'[1]Classic Net to delete'!D:D,'[1]Classic Net to delete'!AA:AA,0)</f>
        <v>0</v>
      </c>
      <c r="Q266">
        <v>52</v>
      </c>
    </row>
    <row r="267" spans="1:17" x14ac:dyDescent="0.25">
      <c r="A267" t="s">
        <v>439</v>
      </c>
      <c r="B267" t="s">
        <v>440</v>
      </c>
      <c r="C267">
        <v>51.15</v>
      </c>
      <c r="D267" t="s">
        <v>371</v>
      </c>
      <c r="E267" t="s">
        <v>433</v>
      </c>
      <c r="F267">
        <v>75</v>
      </c>
      <c r="G267" t="b">
        <v>0</v>
      </c>
      <c r="H267">
        <v>300</v>
      </c>
      <c r="K267" s="188">
        <f>IFERROR(_xlfn.XLOOKUP(A267,[1]Fleet!A:A,[1]Fleet!E:E,""),"")</f>
        <v>1</v>
      </c>
      <c r="L267" s="188">
        <v>47.800000000000004</v>
      </c>
      <c r="M267" s="188" t="s">
        <v>440</v>
      </c>
      <c r="N267" s="188" t="s">
        <v>363</v>
      </c>
      <c r="O267">
        <v>267</v>
      </c>
      <c r="P267">
        <f>_xlfn.XLOOKUP(A267,'[1]Classic Net to delete'!D:D,'[1]Classic Net to delete'!AA:AA,0)</f>
        <v>300</v>
      </c>
      <c r="Q267">
        <v>75</v>
      </c>
    </row>
    <row r="268" spans="1:17" x14ac:dyDescent="0.25">
      <c r="A268" t="s">
        <v>494</v>
      </c>
      <c r="B268" t="s">
        <v>495</v>
      </c>
      <c r="C268">
        <v>39.75</v>
      </c>
      <c r="D268" t="s">
        <v>371</v>
      </c>
      <c r="E268" t="s">
        <v>433</v>
      </c>
      <c r="F268">
        <v>75</v>
      </c>
      <c r="G268" t="b">
        <v>0</v>
      </c>
      <c r="H268">
        <v>307</v>
      </c>
      <c r="K268" s="188">
        <f>IFERROR(_xlfn.XLOOKUP(A268,[1]Fleet!A:A,[1]Fleet!E:E,""),"")</f>
        <v>0</v>
      </c>
      <c r="L268" s="188">
        <v>37.15</v>
      </c>
      <c r="M268" s="188" t="s">
        <v>496</v>
      </c>
      <c r="N268" s="188" t="s">
        <v>433</v>
      </c>
      <c r="O268">
        <v>256</v>
      </c>
      <c r="P268">
        <f>_xlfn.XLOOKUP(A268,'[1]Classic Net to delete'!D:D,'[1]Classic Net to delete'!AA:AA,0)</f>
        <v>307</v>
      </c>
      <c r="Q268">
        <v>83</v>
      </c>
    </row>
    <row r="269" spans="1:17" x14ac:dyDescent="0.25">
      <c r="A269" t="s">
        <v>450</v>
      </c>
      <c r="B269" t="s">
        <v>451</v>
      </c>
      <c r="C269">
        <v>15.69</v>
      </c>
      <c r="D269" t="s">
        <v>371</v>
      </c>
      <c r="E269" t="s">
        <v>452</v>
      </c>
      <c r="F269">
        <v>75</v>
      </c>
      <c r="G269" t="b">
        <v>0</v>
      </c>
      <c r="H269">
        <v>0</v>
      </c>
      <c r="K269" s="188">
        <f>IFERROR(_xlfn.XLOOKUP(A269,[1]Fleet!A:A,[1]Fleet!E:E,""),"")</f>
        <v>16</v>
      </c>
      <c r="L269" s="188" t="s">
        <v>76</v>
      </c>
      <c r="M269" s="188" t="s">
        <v>76</v>
      </c>
      <c r="N269" s="188" t="s">
        <v>452</v>
      </c>
      <c r="O269">
        <v>239</v>
      </c>
      <c r="P269">
        <f>_xlfn.XLOOKUP(A269,'[1]Classic Net to delete'!D:D,'[1]Classic Net to delete'!AA:AA,0)</f>
        <v>0</v>
      </c>
    </row>
    <row r="270" spans="1:17" x14ac:dyDescent="0.25">
      <c r="A270" t="s">
        <v>524</v>
      </c>
      <c r="B270" t="s">
        <v>525</v>
      </c>
      <c r="C270">
        <v>15.69</v>
      </c>
      <c r="D270" t="s">
        <v>371</v>
      </c>
      <c r="E270" t="s">
        <v>452</v>
      </c>
      <c r="F270">
        <v>75</v>
      </c>
      <c r="G270" t="b">
        <v>0</v>
      </c>
      <c r="H270">
        <v>0</v>
      </c>
      <c r="K270" s="188">
        <f>IFERROR(_xlfn.XLOOKUP(A270,[1]Fleet!A:A,[1]Fleet!E:E,""),"")</f>
        <v>4</v>
      </c>
      <c r="L270" s="188" t="s">
        <v>76</v>
      </c>
      <c r="M270" s="188" t="s">
        <v>76</v>
      </c>
      <c r="N270" s="188" t="s">
        <v>452</v>
      </c>
      <c r="O270">
        <v>257</v>
      </c>
      <c r="P270">
        <f>_xlfn.XLOOKUP(A270,'[1]Classic Net to delete'!D:D,'[1]Classic Net to delete'!AA:AA,0)</f>
        <v>0</v>
      </c>
    </row>
    <row r="271" spans="1:17" x14ac:dyDescent="0.25">
      <c r="A271" t="s">
        <v>526</v>
      </c>
      <c r="B271" t="s">
        <v>527</v>
      </c>
      <c r="C271">
        <v>15.69</v>
      </c>
      <c r="D271" t="s">
        <v>371</v>
      </c>
      <c r="E271" t="s">
        <v>452</v>
      </c>
      <c r="F271">
        <v>75</v>
      </c>
      <c r="G271" t="b">
        <v>0</v>
      </c>
      <c r="H271">
        <v>0</v>
      </c>
      <c r="K271" s="188">
        <f>IFERROR(_xlfn.XLOOKUP(A271,[1]Fleet!A:A,[1]Fleet!E:E,""),"")</f>
        <v>2</v>
      </c>
      <c r="L271" s="188" t="s">
        <v>76</v>
      </c>
      <c r="M271" s="188" t="s">
        <v>76</v>
      </c>
      <c r="N271" s="188" t="s">
        <v>452</v>
      </c>
      <c r="O271">
        <v>216</v>
      </c>
      <c r="P271">
        <f>_xlfn.XLOOKUP(A271,'[1]Classic Net to delete'!D:D,'[1]Classic Net to delete'!AA:AA,0)</f>
        <v>0</v>
      </c>
    </row>
    <row r="272" spans="1:17" x14ac:dyDescent="0.25">
      <c r="A272" t="s">
        <v>1925</v>
      </c>
      <c r="B272" t="s">
        <v>1926</v>
      </c>
      <c r="C272">
        <v>0</v>
      </c>
      <c r="D272" t="s">
        <v>371</v>
      </c>
      <c r="E272" t="s">
        <v>618</v>
      </c>
      <c r="F272">
        <v>75</v>
      </c>
      <c r="G272" t="b">
        <v>0</v>
      </c>
      <c r="H272">
        <v>0</v>
      </c>
      <c r="K272" s="188" t="str">
        <f>IFERROR(_xlfn.XLOOKUP(A272,[1]Fleet!A:A,[1]Fleet!E:E,""),"")</f>
        <v/>
      </c>
      <c r="L272" s="188" t="s">
        <v>76</v>
      </c>
      <c r="M272" s="188" t="s">
        <v>76</v>
      </c>
      <c r="N272" s="188" t="s">
        <v>618</v>
      </c>
      <c r="O272">
        <v>252</v>
      </c>
      <c r="P272">
        <f>_xlfn.XLOOKUP(A272,'[1]Classic Net to delete'!D:D,'[1]Classic Net to delete'!AA:AA,0)</f>
        <v>0</v>
      </c>
      <c r="Q272">
        <v>62</v>
      </c>
    </row>
    <row r="273" spans="1:17" x14ac:dyDescent="0.25">
      <c r="A273" t="s">
        <v>483</v>
      </c>
      <c r="B273" t="s">
        <v>484</v>
      </c>
      <c r="C273">
        <v>282.37</v>
      </c>
      <c r="D273" t="s">
        <v>371</v>
      </c>
      <c r="E273" t="s">
        <v>485</v>
      </c>
      <c r="F273">
        <v>75</v>
      </c>
      <c r="G273" t="b">
        <v>0</v>
      </c>
      <c r="H273">
        <v>0</v>
      </c>
      <c r="K273" s="188">
        <f>IFERROR(_xlfn.XLOOKUP(A273,[1]Fleet!A:A,[1]Fleet!E:E,""),"")</f>
        <v>7</v>
      </c>
      <c r="L273" s="188" t="s">
        <v>76</v>
      </c>
      <c r="M273" s="188" t="s">
        <v>76</v>
      </c>
      <c r="N273" s="188" t="s">
        <v>363</v>
      </c>
      <c r="O273">
        <v>271</v>
      </c>
      <c r="P273">
        <f>_xlfn.XLOOKUP(A273,'[1]Classic Net to delete'!D:D,'[1]Classic Net to delete'!AA:AA,0)</f>
        <v>0</v>
      </c>
      <c r="Q273">
        <v>32</v>
      </c>
    </row>
    <row r="274" spans="1:17" x14ac:dyDescent="0.25">
      <c r="A274" t="s">
        <v>486</v>
      </c>
      <c r="B274" t="s">
        <v>487</v>
      </c>
      <c r="C274">
        <v>107.21000000000001</v>
      </c>
      <c r="D274" t="s">
        <v>371</v>
      </c>
      <c r="E274" t="s">
        <v>485</v>
      </c>
      <c r="F274">
        <v>75</v>
      </c>
      <c r="G274" t="b">
        <v>0</v>
      </c>
      <c r="H274">
        <v>0</v>
      </c>
      <c r="K274" s="188">
        <f>IFERROR(_xlfn.XLOOKUP(A274,[1]Fleet!A:A,[1]Fleet!E:E,""),"")</f>
        <v>3</v>
      </c>
      <c r="L274" s="188" t="s">
        <v>76</v>
      </c>
      <c r="M274" s="188" t="s">
        <v>76</v>
      </c>
      <c r="N274" s="188" t="s">
        <v>363</v>
      </c>
      <c r="O274">
        <v>275</v>
      </c>
      <c r="P274">
        <f>_xlfn.XLOOKUP(A274,'[1]Classic Net to delete'!D:D,'[1]Classic Net to delete'!AA:AA,0)</f>
        <v>0</v>
      </c>
      <c r="Q274">
        <v>20</v>
      </c>
    </row>
    <row r="275" spans="1:17" x14ac:dyDescent="0.25">
      <c r="A275" t="s">
        <v>488</v>
      </c>
      <c r="B275" t="s">
        <v>489</v>
      </c>
      <c r="C275">
        <v>82.12</v>
      </c>
      <c r="D275" t="s">
        <v>371</v>
      </c>
      <c r="E275" t="s">
        <v>485</v>
      </c>
      <c r="F275">
        <v>75</v>
      </c>
      <c r="G275" t="b">
        <v>0</v>
      </c>
      <c r="H275">
        <v>0</v>
      </c>
      <c r="K275" s="188">
        <f>IFERROR(_xlfn.XLOOKUP(A275,[1]Fleet!A:A,[1]Fleet!E:E,""),"")</f>
        <v>3</v>
      </c>
      <c r="L275" s="188" t="s">
        <v>76</v>
      </c>
      <c r="M275" s="188" t="s">
        <v>76</v>
      </c>
      <c r="N275" s="188" t="s">
        <v>363</v>
      </c>
      <c r="O275">
        <v>276</v>
      </c>
      <c r="P275">
        <f>_xlfn.XLOOKUP(A275,'[1]Classic Net to delete'!D:D,'[1]Classic Net to delete'!AA:AA,0)</f>
        <v>0</v>
      </c>
      <c r="Q275">
        <v>40.200000000000003</v>
      </c>
    </row>
    <row r="276" spans="1:17" x14ac:dyDescent="0.25">
      <c r="A276" t="s">
        <v>490</v>
      </c>
      <c r="B276" t="s">
        <v>491</v>
      </c>
      <c r="C276">
        <v>214</v>
      </c>
      <c r="D276" t="s">
        <v>371</v>
      </c>
      <c r="E276" t="s">
        <v>485</v>
      </c>
      <c r="F276">
        <v>75</v>
      </c>
      <c r="G276" t="b">
        <v>0</v>
      </c>
      <c r="H276">
        <v>0</v>
      </c>
      <c r="K276" s="188">
        <f>IFERROR(_xlfn.XLOOKUP(A276,[1]Fleet!A:A,[1]Fleet!E:E,""),"")</f>
        <v>1</v>
      </c>
      <c r="L276" s="188" t="s">
        <v>76</v>
      </c>
      <c r="M276" s="188" t="s">
        <v>76</v>
      </c>
      <c r="N276" s="188" t="s">
        <v>363</v>
      </c>
      <c r="O276">
        <v>277</v>
      </c>
      <c r="P276">
        <f>_xlfn.XLOOKUP(A276,'[1]Classic Net to delete'!D:D,'[1]Classic Net to delete'!AA:AA,0)</f>
        <v>0</v>
      </c>
    </row>
    <row r="277" spans="1:17" x14ac:dyDescent="0.25">
      <c r="A277" t="s">
        <v>492</v>
      </c>
      <c r="B277" t="s">
        <v>493</v>
      </c>
      <c r="C277">
        <v>107</v>
      </c>
      <c r="D277" t="s">
        <v>371</v>
      </c>
      <c r="E277" t="s">
        <v>485</v>
      </c>
      <c r="F277">
        <v>75</v>
      </c>
      <c r="G277" t="b">
        <v>0</v>
      </c>
      <c r="H277">
        <v>0</v>
      </c>
      <c r="K277" s="188">
        <f>IFERROR(_xlfn.XLOOKUP(A277,[1]Fleet!A:A,[1]Fleet!E:E,""),"")</f>
        <v>1</v>
      </c>
      <c r="L277" s="188" t="s">
        <v>76</v>
      </c>
      <c r="M277" s="188" t="s">
        <v>76</v>
      </c>
      <c r="N277" s="188" t="s">
        <v>363</v>
      </c>
      <c r="O277">
        <v>278</v>
      </c>
      <c r="P277">
        <f>_xlfn.XLOOKUP(A277,'[1]Classic Net to delete'!D:D,'[1]Classic Net to delete'!AA:AA,0)</f>
        <v>0</v>
      </c>
      <c r="Q277">
        <v>75.099999999999994</v>
      </c>
    </row>
    <row r="278" spans="1:17" x14ac:dyDescent="0.25">
      <c r="A278" t="s">
        <v>504</v>
      </c>
      <c r="B278" t="s">
        <v>505</v>
      </c>
      <c r="C278">
        <v>202.23000000000002</v>
      </c>
      <c r="D278" t="s">
        <v>371</v>
      </c>
      <c r="E278" t="s">
        <v>485</v>
      </c>
      <c r="F278">
        <v>75</v>
      </c>
      <c r="G278" t="b">
        <v>0</v>
      </c>
      <c r="H278">
        <v>0</v>
      </c>
      <c r="K278" s="188">
        <f>IFERROR(_xlfn.XLOOKUP(A278,[1]Fleet!A:A,[1]Fleet!E:E,""),"")</f>
        <v>4</v>
      </c>
      <c r="L278" s="188" t="s">
        <v>76</v>
      </c>
      <c r="M278" s="188" t="s">
        <v>76</v>
      </c>
      <c r="N278" s="188" t="s">
        <v>363</v>
      </c>
      <c r="O278">
        <v>274</v>
      </c>
      <c r="P278">
        <f>_xlfn.XLOOKUP(A278,'[1]Classic Net to delete'!D:D,'[1]Classic Net to delete'!AA:AA,0)</f>
        <v>0</v>
      </c>
      <c r="Q278">
        <v>35</v>
      </c>
    </row>
    <row r="279" spans="1:17" x14ac:dyDescent="0.25">
      <c r="A279" t="s">
        <v>551</v>
      </c>
      <c r="B279" t="s">
        <v>552</v>
      </c>
      <c r="C279">
        <v>28.36</v>
      </c>
      <c r="D279" t="s">
        <v>553</v>
      </c>
      <c r="E279" t="str">
        <f>CONCATENATE(J279,". ",N279)</f>
        <v>01. Vacuums &amp; Dust Extractors</v>
      </c>
      <c r="F279">
        <v>75</v>
      </c>
      <c r="G279" t="b">
        <v>1</v>
      </c>
      <c r="H279">
        <v>332</v>
      </c>
      <c r="J279" s="193" t="s">
        <v>20</v>
      </c>
      <c r="K279" s="188">
        <f>IFERROR(_xlfn.XLOOKUP(A279,[1]Fleet!A:A,[1]Fleet!E:E,""),"")</f>
        <v>24</v>
      </c>
      <c r="L279" s="188">
        <v>26.5</v>
      </c>
      <c r="M279" s="188" t="s">
        <v>554</v>
      </c>
      <c r="N279" s="188" t="s">
        <v>555</v>
      </c>
      <c r="O279">
        <v>298</v>
      </c>
      <c r="P279">
        <f>_xlfn.XLOOKUP(A279,'[1]Classic Net to delete'!D:D,'[1]Classic Net to delete'!AA:AA,0)</f>
        <v>332</v>
      </c>
    </row>
    <row r="280" spans="1:17" x14ac:dyDescent="0.25">
      <c r="A280" t="s">
        <v>560</v>
      </c>
      <c r="B280" t="s">
        <v>561</v>
      </c>
      <c r="C280">
        <v>69.39</v>
      </c>
      <c r="D280" t="s">
        <v>553</v>
      </c>
      <c r="E280" t="str">
        <f>CONCATENATE(J280,". ",N280)</f>
        <v>01. Vacuums &amp; Dust Extractors</v>
      </c>
      <c r="F280">
        <v>75</v>
      </c>
      <c r="G280" t="b">
        <v>1</v>
      </c>
      <c r="H280">
        <v>333</v>
      </c>
      <c r="J280" s="193" t="s">
        <v>20</v>
      </c>
      <c r="K280" s="188">
        <f>IFERROR(_xlfn.XLOOKUP(A280,[1]Fleet!A:A,[1]Fleet!E:E,""),"")</f>
        <v>27</v>
      </c>
      <c r="L280" s="188">
        <v>64.850000000000009</v>
      </c>
      <c r="M280" s="188" t="s">
        <v>562</v>
      </c>
      <c r="N280" s="188" t="s">
        <v>555</v>
      </c>
      <c r="O280">
        <v>299</v>
      </c>
      <c r="P280">
        <f>_xlfn.XLOOKUP(A280,'[1]Classic Net to delete'!D:D,'[1]Classic Net to delete'!AA:AA,0)</f>
        <v>333</v>
      </c>
      <c r="Q280">
        <v>12</v>
      </c>
    </row>
    <row r="281" spans="1:17" x14ac:dyDescent="0.25">
      <c r="A281" t="s">
        <v>563</v>
      </c>
      <c r="B281" t="s">
        <v>564</v>
      </c>
      <c r="C281">
        <v>69.39</v>
      </c>
      <c r="D281" t="s">
        <v>553</v>
      </c>
      <c r="E281" t="str">
        <f>CONCATENATE(J281,". ",N281)</f>
        <v>01. Vacuums &amp; Dust Extractors</v>
      </c>
      <c r="F281">
        <v>75</v>
      </c>
      <c r="G281" t="b">
        <v>1</v>
      </c>
      <c r="H281">
        <v>334</v>
      </c>
      <c r="J281" s="193" t="s">
        <v>20</v>
      </c>
      <c r="K281" s="188">
        <f>IFERROR(_xlfn.XLOOKUP(A281,[1]Fleet!A:A,[1]Fleet!E:E,""),"")</f>
        <v>101</v>
      </c>
      <c r="L281" s="188">
        <v>64.850000000000009</v>
      </c>
      <c r="M281" s="188" t="s">
        <v>565</v>
      </c>
      <c r="N281" s="188" t="s">
        <v>555</v>
      </c>
      <c r="O281">
        <v>300</v>
      </c>
      <c r="P281">
        <f>_xlfn.XLOOKUP(A281,'[1]Classic Net to delete'!D:D,'[1]Classic Net to delete'!AA:AA,0)</f>
        <v>334</v>
      </c>
      <c r="Q281">
        <v>13</v>
      </c>
    </row>
    <row r="282" spans="1:17" x14ac:dyDescent="0.25">
      <c r="A282" t="s">
        <v>582</v>
      </c>
      <c r="B282" t="s">
        <v>583</v>
      </c>
      <c r="C282">
        <v>113.10000000000001</v>
      </c>
      <c r="D282" t="s">
        <v>553</v>
      </c>
      <c r="E282" t="str">
        <f>CONCATENATE(J282,". ",N282)</f>
        <v>01. Vacuums &amp; Dust Extractors</v>
      </c>
      <c r="F282">
        <v>75</v>
      </c>
      <c r="G282" t="b">
        <v>1</v>
      </c>
      <c r="H282">
        <v>335</v>
      </c>
      <c r="J282" s="193" t="s">
        <v>20</v>
      </c>
      <c r="K282" s="188">
        <f>IFERROR(_xlfn.XLOOKUP(A282,[1]Fleet!A:A,[1]Fleet!E:E,""),"")</f>
        <v>2</v>
      </c>
      <c r="L282" s="188">
        <v>105.7</v>
      </c>
      <c r="M282" s="188" t="s">
        <v>584</v>
      </c>
      <c r="N282" s="188" t="s">
        <v>555</v>
      </c>
      <c r="O282">
        <v>302</v>
      </c>
      <c r="P282">
        <f>_xlfn.XLOOKUP(A282,'[1]Classic Net to delete'!D:D,'[1]Classic Net to delete'!AA:AA,0)</f>
        <v>335</v>
      </c>
      <c r="Q282">
        <v>13.1</v>
      </c>
    </row>
    <row r="283" spans="1:17" x14ac:dyDescent="0.25">
      <c r="A283" t="s">
        <v>619</v>
      </c>
      <c r="B283" t="s">
        <v>620</v>
      </c>
      <c r="C283">
        <v>85.12</v>
      </c>
      <c r="D283" t="s">
        <v>553</v>
      </c>
      <c r="E283" t="str">
        <f>CONCATENATE(J283,". ",N283)</f>
        <v>01. Vacuums &amp; Dust Extractors</v>
      </c>
      <c r="F283">
        <v>75</v>
      </c>
      <c r="G283" t="b">
        <v>1</v>
      </c>
      <c r="H283">
        <v>339</v>
      </c>
      <c r="J283" s="193" t="s">
        <v>20</v>
      </c>
      <c r="K283" s="188">
        <f>IFERROR(_xlfn.XLOOKUP(A283,[1]Fleet!A:A,[1]Fleet!E:E,""),"")</f>
        <v>29</v>
      </c>
      <c r="L283" s="188">
        <v>79.550000000000011</v>
      </c>
      <c r="M283" s="188" t="s">
        <v>621</v>
      </c>
      <c r="N283" s="188" t="s">
        <v>555</v>
      </c>
      <c r="O283">
        <v>310</v>
      </c>
      <c r="P283">
        <f>_xlfn.XLOOKUP(A283,'[1]Classic Net to delete'!D:D,'[1]Classic Net to delete'!AA:AA,0)</f>
        <v>339</v>
      </c>
      <c r="Q283">
        <v>14</v>
      </c>
    </row>
    <row r="284" spans="1:17" x14ac:dyDescent="0.25">
      <c r="A284" t="s">
        <v>622</v>
      </c>
      <c r="B284" t="s">
        <v>623</v>
      </c>
      <c r="C284">
        <v>128.72</v>
      </c>
      <c r="D284" t="s">
        <v>553</v>
      </c>
      <c r="E284" t="str">
        <f>CONCATENATE(J284,". ",N284)</f>
        <v>01. Vacuums &amp; Dust Extractors</v>
      </c>
      <c r="F284">
        <v>75</v>
      </c>
      <c r="G284" t="b">
        <v>1</v>
      </c>
      <c r="H284">
        <v>340</v>
      </c>
      <c r="J284" s="193" t="s">
        <v>20</v>
      </c>
      <c r="K284" s="188">
        <f>IFERROR(_xlfn.XLOOKUP(A284,[1]Fleet!A:A,[1]Fleet!E:E,""),"")</f>
        <v>11</v>
      </c>
      <c r="L284" s="188">
        <v>120.30000000000001</v>
      </c>
      <c r="M284" s="188" t="s">
        <v>623</v>
      </c>
      <c r="N284" s="188" t="s">
        <v>555</v>
      </c>
      <c r="O284">
        <v>311</v>
      </c>
      <c r="P284">
        <f>_xlfn.XLOOKUP(A284,'[1]Classic Net to delete'!D:D,'[1]Classic Net to delete'!AA:AA,0)</f>
        <v>340</v>
      </c>
      <c r="Q284">
        <v>15</v>
      </c>
    </row>
    <row r="285" spans="1:17" x14ac:dyDescent="0.25">
      <c r="A285" t="s">
        <v>579</v>
      </c>
      <c r="B285" t="s">
        <v>580</v>
      </c>
      <c r="C285">
        <v>91.81</v>
      </c>
      <c r="D285" t="s">
        <v>553</v>
      </c>
      <c r="E285" t="str">
        <f>CONCATENATE(J285,". ",N285)</f>
        <v>01. Vacuums &amp; Dust Extractors</v>
      </c>
      <c r="F285">
        <v>75</v>
      </c>
      <c r="G285" t="b">
        <v>1</v>
      </c>
      <c r="H285">
        <v>341</v>
      </c>
      <c r="J285" s="193" t="s">
        <v>20</v>
      </c>
      <c r="K285" s="188">
        <f>IFERROR(_xlfn.XLOOKUP(A285,[1]Fleet!A:A,[1]Fleet!E:E,""),"")</f>
        <v>56</v>
      </c>
      <c r="L285" s="188">
        <v>85.800000000000011</v>
      </c>
      <c r="M285" s="188" t="s">
        <v>581</v>
      </c>
      <c r="N285" s="188" t="s">
        <v>555</v>
      </c>
      <c r="O285">
        <v>309</v>
      </c>
      <c r="P285">
        <f>_xlfn.XLOOKUP(A285,'[1]Classic Net to delete'!D:D,'[1]Classic Net to delete'!AA:AA,0)</f>
        <v>341</v>
      </c>
      <c r="Q285">
        <v>15.1</v>
      </c>
    </row>
    <row r="286" spans="1:17" x14ac:dyDescent="0.25">
      <c r="A286" t="s">
        <v>572</v>
      </c>
      <c r="B286" t="s">
        <v>573</v>
      </c>
      <c r="C286">
        <v>117.59</v>
      </c>
      <c r="D286" t="s">
        <v>553</v>
      </c>
      <c r="E286" t="str">
        <f>CONCATENATE(J286,". ",N286)</f>
        <v>01. Vacuums &amp; Dust Extractors</v>
      </c>
      <c r="F286">
        <v>75</v>
      </c>
      <c r="G286" t="b">
        <v>1</v>
      </c>
      <c r="H286">
        <v>342</v>
      </c>
      <c r="J286" s="193" t="s">
        <v>20</v>
      </c>
      <c r="K286" s="188">
        <f>IFERROR(_xlfn.XLOOKUP(A286,[1]Fleet!A:A,[1]Fleet!E:E,""),"")</f>
        <v>91</v>
      </c>
      <c r="L286" s="188">
        <v>99.65</v>
      </c>
      <c r="M286" s="188" t="s">
        <v>574</v>
      </c>
      <c r="N286" s="188" t="s">
        <v>555</v>
      </c>
      <c r="O286">
        <v>306</v>
      </c>
      <c r="P286">
        <f>_xlfn.XLOOKUP(A286,'[1]Classic Net to delete'!D:D,'[1]Classic Net to delete'!AA:AA,0)</f>
        <v>342</v>
      </c>
      <c r="Q286">
        <v>16</v>
      </c>
    </row>
    <row r="287" spans="1:17" x14ac:dyDescent="0.25">
      <c r="A287" t="s">
        <v>629</v>
      </c>
      <c r="B287" t="s">
        <v>630</v>
      </c>
      <c r="C287">
        <v>65.97</v>
      </c>
      <c r="D287" t="s">
        <v>553</v>
      </c>
      <c r="E287" t="str">
        <f>CONCATENATE(J287,". ",N287)</f>
        <v>02. Air Cleaners</v>
      </c>
      <c r="F287">
        <v>75</v>
      </c>
      <c r="G287" t="b">
        <v>1</v>
      </c>
      <c r="H287">
        <v>343</v>
      </c>
      <c r="J287" s="193" t="s">
        <v>189</v>
      </c>
      <c r="K287" s="188">
        <f>IFERROR(_xlfn.XLOOKUP(A287,[1]Fleet!A:A,[1]Fleet!E:E,""),"")</f>
        <v>39</v>
      </c>
      <c r="L287" s="188">
        <v>61.650000000000006</v>
      </c>
      <c r="M287" s="188" t="s">
        <v>631</v>
      </c>
      <c r="N287" s="188" t="s">
        <v>3958</v>
      </c>
      <c r="O287">
        <v>312</v>
      </c>
      <c r="P287">
        <f>_xlfn.XLOOKUP(A287,'[1]Classic Net to delete'!D:D,'[1]Classic Net to delete'!AA:AA,0)</f>
        <v>343</v>
      </c>
      <c r="Q287">
        <v>20</v>
      </c>
    </row>
    <row r="288" spans="1:17" x14ac:dyDescent="0.25">
      <c r="A288" t="s">
        <v>632</v>
      </c>
      <c r="B288" t="s">
        <v>633</v>
      </c>
      <c r="C288">
        <v>100.95</v>
      </c>
      <c r="D288" t="s">
        <v>553</v>
      </c>
      <c r="E288" t="str">
        <f>CONCATENATE(J288,". ",N288)</f>
        <v>02. Air Cleaners</v>
      </c>
      <c r="F288">
        <v>75</v>
      </c>
      <c r="G288" t="b">
        <v>1</v>
      </c>
      <c r="H288">
        <v>344</v>
      </c>
      <c r="J288" s="193" t="s">
        <v>189</v>
      </c>
      <c r="K288" s="188">
        <f>IFERROR(_xlfn.XLOOKUP(A288,[1]Fleet!A:A,[1]Fleet!E:E,""),"")</f>
        <v>47</v>
      </c>
      <c r="L288" s="188">
        <v>94.350000000000009</v>
      </c>
      <c r="M288" s="188" t="s">
        <v>633</v>
      </c>
      <c r="N288" s="188" t="s">
        <v>3958</v>
      </c>
      <c r="O288">
        <v>313</v>
      </c>
      <c r="P288">
        <f>_xlfn.XLOOKUP(A288,'[1]Classic Net to delete'!D:D,'[1]Classic Net to delete'!AA:AA,0)</f>
        <v>344</v>
      </c>
      <c r="Q288">
        <v>21</v>
      </c>
    </row>
    <row r="289" spans="1:17" x14ac:dyDescent="0.25">
      <c r="A289" t="s">
        <v>627</v>
      </c>
      <c r="B289" t="s">
        <v>628</v>
      </c>
      <c r="C289">
        <v>143.27000000000001</v>
      </c>
      <c r="D289" t="s">
        <v>553</v>
      </c>
      <c r="E289" t="str">
        <f>CONCATENATE(J289,". ",N289)</f>
        <v>02. Air Cleaners</v>
      </c>
      <c r="F289">
        <v>75</v>
      </c>
      <c r="G289" t="b">
        <v>1</v>
      </c>
      <c r="H289">
        <v>345</v>
      </c>
      <c r="J289" s="193" t="s">
        <v>189</v>
      </c>
      <c r="K289" s="188">
        <f>IFERROR(_xlfn.XLOOKUP(A289,[1]Fleet!A:A,[1]Fleet!E:E,""),"")</f>
        <v>3</v>
      </c>
      <c r="L289" s="188">
        <v>133.9</v>
      </c>
      <c r="M289" s="188" t="s">
        <v>628</v>
      </c>
      <c r="N289" s="188" t="s">
        <v>3958</v>
      </c>
      <c r="O289">
        <v>314</v>
      </c>
      <c r="P289">
        <f>_xlfn.XLOOKUP(A289,'[1]Classic Net to delete'!D:D,'[1]Classic Net to delete'!AA:AA,0)</f>
        <v>345</v>
      </c>
      <c r="Q289">
        <v>21</v>
      </c>
    </row>
    <row r="290" spans="1:17" x14ac:dyDescent="0.25">
      <c r="A290" t="s">
        <v>624</v>
      </c>
      <c r="B290" t="s">
        <v>625</v>
      </c>
      <c r="C290">
        <v>137.22999999999999</v>
      </c>
      <c r="D290" t="s">
        <v>553</v>
      </c>
      <c r="E290" t="str">
        <f>CONCATENATE(J290,". ",N290)</f>
        <v>02. Air Cleaners</v>
      </c>
      <c r="F290">
        <v>75</v>
      </c>
      <c r="G290" t="b">
        <v>1</v>
      </c>
      <c r="H290">
        <v>348</v>
      </c>
      <c r="J290" s="193" t="s">
        <v>189</v>
      </c>
      <c r="K290" s="188">
        <f>IFERROR(_xlfn.XLOOKUP(A290,[1]Fleet!A:A,[1]Fleet!E:E,""),"")</f>
        <v>27</v>
      </c>
      <c r="L290" s="188">
        <v>128.25</v>
      </c>
      <c r="M290" s="188" t="s">
        <v>625</v>
      </c>
      <c r="N290" s="188" t="s">
        <v>3958</v>
      </c>
      <c r="O290">
        <v>315</v>
      </c>
      <c r="P290">
        <f>_xlfn.XLOOKUP(A290,'[1]Classic Net to delete'!D:D,'[1]Classic Net to delete'!AA:AA,0)</f>
        <v>348</v>
      </c>
      <c r="Q290">
        <v>23</v>
      </c>
    </row>
    <row r="291" spans="1:17" x14ac:dyDescent="0.25">
      <c r="A291" t="s">
        <v>2109</v>
      </c>
      <c r="B291" t="s">
        <v>2110</v>
      </c>
      <c r="C291">
        <v>17.07</v>
      </c>
      <c r="D291" t="s">
        <v>553</v>
      </c>
      <c r="E291" t="str">
        <f>CONCATENATE(J291,". ",N291)</f>
        <v>02. Air Cleaners</v>
      </c>
      <c r="F291">
        <v>75</v>
      </c>
      <c r="G291" t="b">
        <v>1</v>
      </c>
      <c r="H291">
        <v>349</v>
      </c>
      <c r="J291" s="193" t="s">
        <v>189</v>
      </c>
      <c r="K291" s="188" t="str">
        <f>IFERROR(_xlfn.XLOOKUP(A291,[1]Fleet!A:A,[1]Fleet!E:E,""),"")</f>
        <v/>
      </c>
      <c r="L291" s="188">
        <v>15.950000000000001</v>
      </c>
      <c r="M291" s="188" t="s">
        <v>2111</v>
      </c>
      <c r="N291" s="188" t="s">
        <v>3958</v>
      </c>
      <c r="O291">
        <v>316</v>
      </c>
      <c r="P291">
        <f>_xlfn.XLOOKUP(A291,'[1]Classic Net to delete'!D:D,'[1]Classic Net to delete'!AA:AA,0)</f>
        <v>349</v>
      </c>
      <c r="Q291">
        <v>24</v>
      </c>
    </row>
    <row r="292" spans="1:17" x14ac:dyDescent="0.25">
      <c r="A292" t="s">
        <v>634</v>
      </c>
      <c r="B292" t="s">
        <v>635</v>
      </c>
      <c r="C292">
        <v>238.18</v>
      </c>
      <c r="D292" t="s">
        <v>553</v>
      </c>
      <c r="E292" t="str">
        <f>CONCATENATE(J292,". ",N292)</f>
        <v>03. Pressure Washers</v>
      </c>
      <c r="F292">
        <v>75</v>
      </c>
      <c r="G292" t="b">
        <v>1</v>
      </c>
      <c r="H292">
        <v>359</v>
      </c>
      <c r="J292" s="193" t="s">
        <v>188</v>
      </c>
      <c r="K292" s="188">
        <f>IFERROR(_xlfn.XLOOKUP(A292,[1]Fleet!A:A,[1]Fleet!E:E,""),"")</f>
        <v>5</v>
      </c>
      <c r="L292" s="188">
        <v>222.60000000000002</v>
      </c>
      <c r="M292" s="188" t="s">
        <v>636</v>
      </c>
      <c r="N292" s="188" t="s">
        <v>602</v>
      </c>
      <c r="O292">
        <v>289</v>
      </c>
      <c r="P292">
        <f>_xlfn.XLOOKUP(A292,'[1]Classic Net to delete'!D:D,'[1]Classic Net to delete'!AA:AA,0)</f>
        <v>359</v>
      </c>
      <c r="Q292">
        <v>25</v>
      </c>
    </row>
    <row r="293" spans="1:17" x14ac:dyDescent="0.25">
      <c r="A293" t="s">
        <v>637</v>
      </c>
      <c r="B293" t="s">
        <v>638</v>
      </c>
      <c r="C293">
        <v>94.64</v>
      </c>
      <c r="D293" t="s">
        <v>553</v>
      </c>
      <c r="E293" t="str">
        <f>CONCATENATE(J293,". ",N293)</f>
        <v>03. Pressure Washers</v>
      </c>
      <c r="F293">
        <v>75</v>
      </c>
      <c r="G293" t="b">
        <v>1</v>
      </c>
      <c r="H293">
        <v>360</v>
      </c>
      <c r="J293" s="193" t="s">
        <v>188</v>
      </c>
      <c r="K293" s="188">
        <f>IFERROR(_xlfn.XLOOKUP(A293,[1]Fleet!A:A,[1]Fleet!E:E,""),"")</f>
        <v>2</v>
      </c>
      <c r="L293" s="188">
        <v>88.45</v>
      </c>
      <c r="M293" s="188" t="s">
        <v>639</v>
      </c>
      <c r="N293" s="188" t="s">
        <v>602</v>
      </c>
      <c r="O293">
        <v>295</v>
      </c>
      <c r="P293">
        <f>_xlfn.XLOOKUP(A293,'[1]Classic Net to delete'!D:D,'[1]Classic Net to delete'!AA:AA,0)</f>
        <v>360</v>
      </c>
      <c r="Q293">
        <v>15</v>
      </c>
    </row>
    <row r="294" spans="1:17" x14ac:dyDescent="0.25">
      <c r="A294" t="s">
        <v>603</v>
      </c>
      <c r="B294" t="s">
        <v>604</v>
      </c>
      <c r="C294">
        <v>116.10000000000001</v>
      </c>
      <c r="D294" t="s">
        <v>553</v>
      </c>
      <c r="E294" t="str">
        <f>CONCATENATE(J294,". ",N294)</f>
        <v>03. Pressure Washers</v>
      </c>
      <c r="F294">
        <v>75</v>
      </c>
      <c r="G294" t="b">
        <v>1</v>
      </c>
      <c r="H294">
        <v>361</v>
      </c>
      <c r="J294" s="193" t="s">
        <v>188</v>
      </c>
      <c r="K294" s="188">
        <f>IFERROR(_xlfn.XLOOKUP(A294,[1]Fleet!A:A,[1]Fleet!E:E,""),"")</f>
        <v>14</v>
      </c>
      <c r="L294" s="188">
        <v>108.5</v>
      </c>
      <c r="M294" s="188" t="s">
        <v>604</v>
      </c>
      <c r="N294" s="188" t="s">
        <v>602</v>
      </c>
      <c r="O294">
        <v>282</v>
      </c>
      <c r="P294">
        <f>_xlfn.XLOOKUP(A294,'[1]Classic Net to delete'!D:D,'[1]Classic Net to delete'!AA:AA,0)</f>
        <v>361</v>
      </c>
      <c r="Q294">
        <v>16</v>
      </c>
    </row>
    <row r="295" spans="1:17" x14ac:dyDescent="0.25">
      <c r="A295" t="s">
        <v>605</v>
      </c>
      <c r="B295" t="s">
        <v>606</v>
      </c>
      <c r="C295">
        <v>144.5</v>
      </c>
      <c r="D295" t="s">
        <v>553</v>
      </c>
      <c r="E295" t="str">
        <f>CONCATENATE(J295,". ",N295)</f>
        <v>03. Pressure Washers</v>
      </c>
      <c r="F295">
        <v>75</v>
      </c>
      <c r="G295" t="b">
        <v>1</v>
      </c>
      <c r="H295">
        <v>362</v>
      </c>
      <c r="J295" s="193" t="s">
        <v>188</v>
      </c>
      <c r="K295" s="188">
        <f>IFERROR(_xlfn.XLOOKUP(A295,[1]Fleet!A:A,[1]Fleet!E:E,""),"")</f>
        <v>9</v>
      </c>
      <c r="L295" s="188">
        <v>135.05000000000001</v>
      </c>
      <c r="M295" s="188" t="s">
        <v>607</v>
      </c>
      <c r="N295" s="188" t="s">
        <v>602</v>
      </c>
      <c r="O295">
        <v>283</v>
      </c>
      <c r="P295">
        <f>_xlfn.XLOOKUP(A295,'[1]Classic Net to delete'!D:D,'[1]Classic Net to delete'!AA:AA,0)</f>
        <v>362</v>
      </c>
      <c r="Q295">
        <v>17</v>
      </c>
    </row>
    <row r="296" spans="1:17" x14ac:dyDescent="0.25">
      <c r="A296" t="s">
        <v>610</v>
      </c>
      <c r="B296" t="s">
        <v>611</v>
      </c>
      <c r="C296">
        <v>239.04</v>
      </c>
      <c r="D296" t="s">
        <v>553</v>
      </c>
      <c r="E296" t="str">
        <f>CONCATENATE(J296,". ",N296)</f>
        <v>03. Pressure Washers</v>
      </c>
      <c r="F296">
        <v>75</v>
      </c>
      <c r="G296" t="b">
        <v>1</v>
      </c>
      <c r="H296">
        <v>363</v>
      </c>
      <c r="J296" s="193" t="s">
        <v>188</v>
      </c>
      <c r="K296" s="188">
        <f>IFERROR(_xlfn.XLOOKUP(A296,[1]Fleet!A:A,[1]Fleet!E:E,""),"")</f>
        <v>17</v>
      </c>
      <c r="L296" s="188">
        <v>223.4</v>
      </c>
      <c r="M296" s="188" t="s">
        <v>612</v>
      </c>
      <c r="N296" s="188" t="s">
        <v>602</v>
      </c>
      <c r="O296">
        <v>285</v>
      </c>
      <c r="P296">
        <f>_xlfn.XLOOKUP(A296,'[1]Classic Net to delete'!D:D,'[1]Classic Net to delete'!AA:AA,0)</f>
        <v>363</v>
      </c>
      <c r="Q296">
        <v>18</v>
      </c>
    </row>
    <row r="297" spans="1:17" x14ac:dyDescent="0.25">
      <c r="A297" t="s">
        <v>608</v>
      </c>
      <c r="B297" t="s">
        <v>609</v>
      </c>
      <c r="C297">
        <v>208.17000000000002</v>
      </c>
      <c r="D297" t="s">
        <v>553</v>
      </c>
      <c r="E297" t="str">
        <f>CONCATENATE(J297,". ",N297)</f>
        <v>03. Pressure Washers</v>
      </c>
      <c r="F297">
        <v>75</v>
      </c>
      <c r="G297" t="b">
        <v>1</v>
      </c>
      <c r="H297">
        <v>364</v>
      </c>
      <c r="J297" s="193" t="s">
        <v>188</v>
      </c>
      <c r="K297" s="188">
        <f>IFERROR(_xlfn.XLOOKUP(A297,[1]Fleet!A:A,[1]Fleet!E:E,""),"")</f>
        <v>13</v>
      </c>
      <c r="L297" s="188">
        <v>194.55</v>
      </c>
      <c r="M297" s="188" t="s">
        <v>609</v>
      </c>
      <c r="N297" s="188" t="s">
        <v>602</v>
      </c>
      <c r="O297">
        <v>284</v>
      </c>
      <c r="P297">
        <f>_xlfn.XLOOKUP(A297,'[1]Classic Net to delete'!D:D,'[1]Classic Net to delete'!AA:AA,0)</f>
        <v>364</v>
      </c>
      <c r="Q297">
        <v>19</v>
      </c>
    </row>
    <row r="298" spans="1:17" x14ac:dyDescent="0.25">
      <c r="A298" t="s">
        <v>640</v>
      </c>
      <c r="B298" t="s">
        <v>641</v>
      </c>
      <c r="C298">
        <v>206.83</v>
      </c>
      <c r="D298" t="s">
        <v>553</v>
      </c>
      <c r="E298" t="str">
        <f>CONCATENATE(J298,". ",N298)</f>
        <v>03. Pressure Washers</v>
      </c>
      <c r="F298">
        <v>75</v>
      </c>
      <c r="G298" t="b">
        <v>1</v>
      </c>
      <c r="H298">
        <v>365</v>
      </c>
      <c r="J298" s="193" t="s">
        <v>188</v>
      </c>
      <c r="K298" s="188">
        <f>IFERROR(_xlfn.XLOOKUP(A298,[1]Fleet!A:A,[1]Fleet!E:E,""),"")</f>
        <v>47</v>
      </c>
      <c r="L298" s="188">
        <v>193.3</v>
      </c>
      <c r="M298" s="188" t="s">
        <v>641</v>
      </c>
      <c r="N298" s="188" t="s">
        <v>602</v>
      </c>
      <c r="O298">
        <v>286</v>
      </c>
      <c r="P298">
        <f>_xlfn.XLOOKUP(A298,'[1]Classic Net to delete'!D:D,'[1]Classic Net to delete'!AA:AA,0)</f>
        <v>365</v>
      </c>
      <c r="Q298">
        <v>20</v>
      </c>
    </row>
    <row r="299" spans="1:17" x14ac:dyDescent="0.25">
      <c r="A299" t="s">
        <v>644</v>
      </c>
      <c r="B299" t="s">
        <v>645</v>
      </c>
      <c r="C299">
        <v>387.5</v>
      </c>
      <c r="D299" t="s">
        <v>553</v>
      </c>
      <c r="E299" t="str">
        <f>CONCATENATE(J299,". ",N299)</f>
        <v>03. Pressure Washers</v>
      </c>
      <c r="F299">
        <v>75</v>
      </c>
      <c r="G299" t="b">
        <v>1</v>
      </c>
      <c r="H299">
        <v>366</v>
      </c>
      <c r="J299" s="193" t="s">
        <v>188</v>
      </c>
      <c r="K299" s="188">
        <f>IFERROR(_xlfn.XLOOKUP(A299,[1]Fleet!A:A,[1]Fleet!E:E,""),"")</f>
        <v>26</v>
      </c>
      <c r="L299" s="188">
        <v>362.15000000000003</v>
      </c>
      <c r="M299" s="188" t="s">
        <v>645</v>
      </c>
      <c r="N299" s="188" t="s">
        <v>602</v>
      </c>
      <c r="O299">
        <v>288</v>
      </c>
      <c r="P299">
        <f>_xlfn.XLOOKUP(A299,'[1]Classic Net to delete'!D:D,'[1]Classic Net to delete'!AA:AA,0)</f>
        <v>366</v>
      </c>
      <c r="Q299">
        <v>21</v>
      </c>
    </row>
    <row r="300" spans="1:17" x14ac:dyDescent="0.25">
      <c r="A300" t="s">
        <v>642</v>
      </c>
      <c r="B300" t="s">
        <v>643</v>
      </c>
      <c r="C300">
        <v>337.53000000000003</v>
      </c>
      <c r="D300" t="s">
        <v>553</v>
      </c>
      <c r="E300" t="str">
        <f>CONCATENATE(J300,". ",N300)</f>
        <v>03. Pressure Washers</v>
      </c>
      <c r="F300">
        <v>75</v>
      </c>
      <c r="G300" t="b">
        <v>1</v>
      </c>
      <c r="H300">
        <v>367</v>
      </c>
      <c r="J300" s="193" t="s">
        <v>188</v>
      </c>
      <c r="K300" s="188">
        <f>IFERROR(_xlfn.XLOOKUP(A300,[1]Fleet!A:A,[1]Fleet!E:E,""),"")</f>
        <v>19</v>
      </c>
      <c r="L300" s="188">
        <v>315.45000000000005</v>
      </c>
      <c r="M300" s="188" t="s">
        <v>643</v>
      </c>
      <c r="N300" s="188" t="s">
        <v>602</v>
      </c>
      <c r="O300">
        <v>287</v>
      </c>
      <c r="P300">
        <f>_xlfn.XLOOKUP(A300,'[1]Classic Net to delete'!D:D,'[1]Classic Net to delete'!AA:AA,0)</f>
        <v>367</v>
      </c>
      <c r="Q300">
        <v>22</v>
      </c>
    </row>
    <row r="301" spans="1:17" x14ac:dyDescent="0.25">
      <c r="A301" t="s">
        <v>646</v>
      </c>
      <c r="B301" t="s">
        <v>647</v>
      </c>
      <c r="C301">
        <v>282.63</v>
      </c>
      <c r="D301" t="s">
        <v>553</v>
      </c>
      <c r="E301" t="str">
        <f>CONCATENATE(J301,". ",N301)</f>
        <v>03. Pressure Washers</v>
      </c>
      <c r="F301">
        <v>75</v>
      </c>
      <c r="G301" t="b">
        <v>1</v>
      </c>
      <c r="H301">
        <v>367.1</v>
      </c>
      <c r="J301" s="193" t="s">
        <v>188</v>
      </c>
      <c r="K301" s="188">
        <f>IFERROR(_xlfn.XLOOKUP(A301,[1]Fleet!A:A,[1]Fleet!E:E,""),"")</f>
        <v>14</v>
      </c>
      <c r="L301" s="188" t="s">
        <v>76</v>
      </c>
      <c r="M301" s="188" t="s">
        <v>76</v>
      </c>
      <c r="N301" s="188" t="s">
        <v>602</v>
      </c>
      <c r="O301">
        <v>290</v>
      </c>
      <c r="P301">
        <f>_xlfn.XLOOKUP(A301,'[1]Classic Net to delete'!D:D,'[1]Classic Net to delete'!AA:AA,0)</f>
        <v>0</v>
      </c>
      <c r="Q301">
        <v>30</v>
      </c>
    </row>
    <row r="302" spans="1:17" x14ac:dyDescent="0.25">
      <c r="A302" t="s">
        <v>613</v>
      </c>
      <c r="B302" t="s">
        <v>614</v>
      </c>
      <c r="C302">
        <v>87.74</v>
      </c>
      <c r="D302" t="s">
        <v>553</v>
      </c>
      <c r="E302" t="str">
        <f>CONCATENATE(J302,". ",N302)</f>
        <v>03. Pressure Washers</v>
      </c>
      <c r="F302">
        <v>75</v>
      </c>
      <c r="G302" t="b">
        <v>1</v>
      </c>
      <c r="H302">
        <v>368</v>
      </c>
      <c r="J302" s="193" t="s">
        <v>188</v>
      </c>
      <c r="K302" s="188">
        <f>IFERROR(_xlfn.XLOOKUP(A302,[1]Fleet!A:A,[1]Fleet!E:E,""),"")</f>
        <v>29</v>
      </c>
      <c r="L302" s="188">
        <v>82</v>
      </c>
      <c r="M302" s="188" t="s">
        <v>615</v>
      </c>
      <c r="N302" s="188" t="s">
        <v>602</v>
      </c>
      <c r="O302">
        <v>297</v>
      </c>
      <c r="P302">
        <f>_xlfn.XLOOKUP(A302,'[1]Classic Net to delete'!D:D,'[1]Classic Net to delete'!AA:AA,0)</f>
        <v>368</v>
      </c>
      <c r="Q302">
        <v>31</v>
      </c>
    </row>
    <row r="303" spans="1:17" x14ac:dyDescent="0.25">
      <c r="A303" t="s">
        <v>2114</v>
      </c>
      <c r="B303" t="s">
        <v>2115</v>
      </c>
      <c r="C303">
        <v>12.950000000000001</v>
      </c>
      <c r="D303" t="s">
        <v>553</v>
      </c>
      <c r="E303" t="str">
        <f>CONCATENATE(J303,". ",N303)</f>
        <v>03. Pressure Washers</v>
      </c>
      <c r="F303">
        <v>75</v>
      </c>
      <c r="G303" t="b">
        <v>1</v>
      </c>
      <c r="H303">
        <v>369</v>
      </c>
      <c r="J303" s="193" t="s">
        <v>188</v>
      </c>
      <c r="K303" s="188" t="str">
        <f>IFERROR(_xlfn.XLOOKUP(A303,[1]Fleet!A:A,[1]Fleet!E:E,""),"")</f>
        <v/>
      </c>
      <c r="L303" s="188">
        <v>12.100000000000001</v>
      </c>
      <c r="M303" s="188" t="s">
        <v>2116</v>
      </c>
      <c r="N303" s="188" t="s">
        <v>602</v>
      </c>
      <c r="O303">
        <v>294</v>
      </c>
      <c r="P303">
        <f>_xlfn.XLOOKUP(A303,'[1]Classic Net to delete'!D:D,'[1]Classic Net to delete'!AA:AA,0)</f>
        <v>369</v>
      </c>
      <c r="Q303">
        <v>32</v>
      </c>
    </row>
    <row r="304" spans="1:17" x14ac:dyDescent="0.25">
      <c r="A304" t="s">
        <v>585</v>
      </c>
      <c r="B304" t="s">
        <v>586</v>
      </c>
      <c r="C304">
        <v>79.180000000000007</v>
      </c>
      <c r="D304" t="s">
        <v>553</v>
      </c>
      <c r="E304" t="str">
        <f>CONCATENATE(J304,". ",N304)</f>
        <v>04. Floor Care</v>
      </c>
      <c r="F304">
        <v>75</v>
      </c>
      <c r="G304" t="b">
        <v>1</v>
      </c>
      <c r="H304">
        <v>353</v>
      </c>
      <c r="J304" s="193" t="s">
        <v>269</v>
      </c>
      <c r="K304" s="188">
        <f>IFERROR(_xlfn.XLOOKUP(A304,[1]Fleet!A:A,[1]Fleet!E:E,""),"")</f>
        <v>8</v>
      </c>
      <c r="L304" s="188">
        <v>74</v>
      </c>
      <c r="M304" s="188" t="s">
        <v>586</v>
      </c>
      <c r="N304" s="188" t="s">
        <v>587</v>
      </c>
      <c r="O304">
        <v>291</v>
      </c>
      <c r="P304">
        <f>_xlfn.XLOOKUP(A304,'[1]Classic Net to delete'!D:D,'[1]Classic Net to delete'!AA:AA,0)</f>
        <v>353</v>
      </c>
      <c r="Q304">
        <v>33</v>
      </c>
    </row>
    <row r="305" spans="1:17" x14ac:dyDescent="0.25">
      <c r="A305" t="s">
        <v>589</v>
      </c>
      <c r="B305" t="s">
        <v>590</v>
      </c>
      <c r="C305">
        <v>56.76</v>
      </c>
      <c r="D305" t="s">
        <v>553</v>
      </c>
      <c r="E305" t="str">
        <f>CONCATENATE(J305,". ",N305)</f>
        <v>04. Floor Care</v>
      </c>
      <c r="F305">
        <v>75</v>
      </c>
      <c r="G305" t="b">
        <v>1</v>
      </c>
      <c r="H305">
        <v>354</v>
      </c>
      <c r="J305" s="193" t="s">
        <v>269</v>
      </c>
      <c r="K305" s="188">
        <f>IFERROR(_xlfn.XLOOKUP(A305,[1]Fleet!A:A,[1]Fleet!E:E,""),"")</f>
        <v>5</v>
      </c>
      <c r="L305" s="188">
        <v>53.050000000000004</v>
      </c>
      <c r="M305" s="188" t="s">
        <v>590</v>
      </c>
      <c r="N305" s="188" t="s">
        <v>587</v>
      </c>
      <c r="O305">
        <v>292</v>
      </c>
      <c r="P305">
        <f>_xlfn.XLOOKUP(A305,'[1]Classic Net to delete'!D:D,'[1]Classic Net to delete'!AA:AA,0)</f>
        <v>354</v>
      </c>
      <c r="Q305">
        <v>33.1</v>
      </c>
    </row>
    <row r="306" spans="1:17" x14ac:dyDescent="0.25">
      <c r="A306" t="s">
        <v>596</v>
      </c>
      <c r="B306" t="s">
        <v>597</v>
      </c>
      <c r="C306">
        <v>53.5</v>
      </c>
      <c r="D306" t="s">
        <v>553</v>
      </c>
      <c r="E306" t="s">
        <v>598</v>
      </c>
      <c r="F306">
        <v>75</v>
      </c>
      <c r="G306" t="b">
        <v>0</v>
      </c>
      <c r="H306">
        <v>0</v>
      </c>
      <c r="K306" s="188">
        <f>IFERROR(_xlfn.XLOOKUP(A306,[1]Fleet!A:A,[1]Fleet!E:E,""),"")</f>
        <v>2</v>
      </c>
      <c r="L306" s="188" t="s">
        <v>76</v>
      </c>
      <c r="M306" s="188" t="s">
        <v>76</v>
      </c>
      <c r="N306" s="188" t="s">
        <v>599</v>
      </c>
      <c r="O306">
        <v>293</v>
      </c>
      <c r="P306">
        <f>_xlfn.XLOOKUP(A306,'[1]Classic Net to delete'!D:D,'[1]Classic Net to delete'!AA:AA,0)</f>
        <v>0</v>
      </c>
      <c r="Q306">
        <v>10</v>
      </c>
    </row>
    <row r="307" spans="1:17" x14ac:dyDescent="0.25">
      <c r="A307" t="s">
        <v>600</v>
      </c>
      <c r="B307" t="s">
        <v>601</v>
      </c>
      <c r="C307">
        <v>138.19</v>
      </c>
      <c r="D307" t="s">
        <v>553</v>
      </c>
      <c r="E307" t="s">
        <v>598</v>
      </c>
      <c r="F307">
        <v>75</v>
      </c>
      <c r="G307" t="b">
        <v>0</v>
      </c>
      <c r="H307">
        <v>0</v>
      </c>
      <c r="K307" s="188">
        <f>IFERROR(_xlfn.XLOOKUP(A307,[1]Fleet!A:A,[1]Fleet!E:E,""),"")</f>
        <v>18</v>
      </c>
      <c r="L307" s="188" t="s">
        <v>76</v>
      </c>
      <c r="M307" s="188" t="s">
        <v>76</v>
      </c>
      <c r="N307" s="188" t="s">
        <v>602</v>
      </c>
      <c r="O307">
        <v>281</v>
      </c>
      <c r="P307">
        <f>_xlfn.XLOOKUP(A307,'[1]Classic Net to delete'!D:D,'[1]Classic Net to delete'!AA:AA,0)</f>
        <v>0</v>
      </c>
    </row>
    <row r="308" spans="1:17" x14ac:dyDescent="0.25">
      <c r="A308" t="s">
        <v>616</v>
      </c>
      <c r="B308" t="s">
        <v>617</v>
      </c>
      <c r="C308">
        <v>87.74</v>
      </c>
      <c r="D308" t="s">
        <v>553</v>
      </c>
      <c r="E308" t="s">
        <v>598</v>
      </c>
      <c r="F308">
        <v>75</v>
      </c>
      <c r="G308" t="b">
        <v>0</v>
      </c>
      <c r="H308">
        <v>0</v>
      </c>
      <c r="K308" s="188">
        <f>IFERROR(_xlfn.XLOOKUP(A308,[1]Fleet!A:A,[1]Fleet!E:E,""),"")</f>
        <v>1</v>
      </c>
      <c r="L308" s="188" t="s">
        <v>76</v>
      </c>
      <c r="M308" s="188" t="s">
        <v>76</v>
      </c>
      <c r="N308" s="188" t="s">
        <v>618</v>
      </c>
      <c r="O308">
        <v>296</v>
      </c>
      <c r="P308">
        <f>_xlfn.XLOOKUP(A308,'[1]Classic Net to delete'!D:D,'[1]Classic Net to delete'!AA:AA,0)</f>
        <v>0</v>
      </c>
      <c r="Q308">
        <v>11</v>
      </c>
    </row>
    <row r="309" spans="1:17" x14ac:dyDescent="0.25">
      <c r="A309" t="s">
        <v>556</v>
      </c>
      <c r="B309" t="s">
        <v>557</v>
      </c>
      <c r="C309">
        <v>28.36</v>
      </c>
      <c r="D309" t="s">
        <v>553</v>
      </c>
      <c r="E309" t="s">
        <v>558</v>
      </c>
      <c r="F309">
        <v>75</v>
      </c>
      <c r="G309" t="b">
        <v>0</v>
      </c>
      <c r="H309">
        <v>0</v>
      </c>
      <c r="K309" s="188">
        <f>IFERROR(_xlfn.XLOOKUP(A309,[1]Fleet!A:A,[1]Fleet!E:E,""),"")</f>
        <v>27</v>
      </c>
      <c r="L309" s="188" t="s">
        <v>76</v>
      </c>
      <c r="M309" s="188" t="s">
        <v>76</v>
      </c>
      <c r="N309" s="188" t="s">
        <v>559</v>
      </c>
      <c r="O309">
        <v>317</v>
      </c>
      <c r="P309">
        <f>_xlfn.XLOOKUP(A309,'[1]Classic Net to delete'!D:D,'[1]Classic Net to delete'!AA:AA,0)</f>
        <v>0</v>
      </c>
      <c r="Q309">
        <v>14</v>
      </c>
    </row>
    <row r="310" spans="1:17" x14ac:dyDescent="0.25">
      <c r="A310" t="s">
        <v>566</v>
      </c>
      <c r="B310" t="s">
        <v>567</v>
      </c>
      <c r="C310">
        <v>69.39</v>
      </c>
      <c r="D310" t="s">
        <v>553</v>
      </c>
      <c r="E310" t="s">
        <v>558</v>
      </c>
      <c r="F310">
        <v>75</v>
      </c>
      <c r="G310" t="b">
        <v>0</v>
      </c>
      <c r="H310">
        <v>0</v>
      </c>
      <c r="K310" s="188">
        <f>IFERROR(_xlfn.XLOOKUP(A310,[1]Fleet!A:A,[1]Fleet!E:E,""),"")</f>
        <v>13</v>
      </c>
      <c r="L310" s="188" t="s">
        <v>76</v>
      </c>
      <c r="M310" s="188" t="s">
        <v>76</v>
      </c>
      <c r="N310" s="188" t="s">
        <v>559</v>
      </c>
      <c r="O310">
        <v>318</v>
      </c>
      <c r="P310">
        <f>_xlfn.XLOOKUP(A310,'[1]Classic Net to delete'!D:D,'[1]Classic Net to delete'!AA:AA,0)</f>
        <v>0</v>
      </c>
      <c r="Q310">
        <v>14.1</v>
      </c>
    </row>
    <row r="311" spans="1:17" x14ac:dyDescent="0.25">
      <c r="A311" t="s">
        <v>568</v>
      </c>
      <c r="B311" t="s">
        <v>569</v>
      </c>
      <c r="C311">
        <v>89.29</v>
      </c>
      <c r="D311" t="s">
        <v>553</v>
      </c>
      <c r="E311" t="s">
        <v>558</v>
      </c>
      <c r="F311">
        <v>75</v>
      </c>
      <c r="G311" t="b">
        <v>0</v>
      </c>
      <c r="H311">
        <v>0</v>
      </c>
      <c r="K311" s="188">
        <f>IFERROR(_xlfn.XLOOKUP(A311,[1]Fleet!A:A,[1]Fleet!E:E,""),"")</f>
        <v>30</v>
      </c>
      <c r="L311" s="188" t="s">
        <v>76</v>
      </c>
      <c r="M311" s="188" t="s">
        <v>76</v>
      </c>
      <c r="N311" s="188" t="s">
        <v>559</v>
      </c>
      <c r="O311">
        <v>301</v>
      </c>
      <c r="P311">
        <f>_xlfn.XLOOKUP(A311,'[1]Classic Net to delete'!D:D,'[1]Classic Net to delete'!AA:AA,0)</f>
        <v>0</v>
      </c>
      <c r="Q311">
        <v>26</v>
      </c>
    </row>
    <row r="312" spans="1:17" x14ac:dyDescent="0.25">
      <c r="A312" t="s">
        <v>570</v>
      </c>
      <c r="B312" t="s">
        <v>571</v>
      </c>
      <c r="C312">
        <v>117.59</v>
      </c>
      <c r="D312" t="s">
        <v>553</v>
      </c>
      <c r="E312" t="s">
        <v>558</v>
      </c>
      <c r="F312">
        <v>75</v>
      </c>
      <c r="G312" t="b">
        <v>0</v>
      </c>
      <c r="H312">
        <v>0</v>
      </c>
      <c r="K312" s="188">
        <f>IFERROR(_xlfn.XLOOKUP(A312,[1]Fleet!A:A,[1]Fleet!E:E,""),"")</f>
        <v>26</v>
      </c>
      <c r="L312" s="188" t="s">
        <v>76</v>
      </c>
      <c r="M312" s="188" t="s">
        <v>76</v>
      </c>
      <c r="N312" s="188" t="s">
        <v>559</v>
      </c>
      <c r="O312">
        <v>305</v>
      </c>
      <c r="P312">
        <f>_xlfn.XLOOKUP(A312,'[1]Classic Net to delete'!D:D,'[1]Classic Net to delete'!AA:AA,0)</f>
        <v>0</v>
      </c>
      <c r="Q312">
        <v>11</v>
      </c>
    </row>
    <row r="313" spans="1:17" x14ac:dyDescent="0.25">
      <c r="A313" t="s">
        <v>575</v>
      </c>
      <c r="B313" t="s">
        <v>576</v>
      </c>
      <c r="C313">
        <v>117.59</v>
      </c>
      <c r="D313" t="s">
        <v>553</v>
      </c>
      <c r="E313" t="s">
        <v>558</v>
      </c>
      <c r="F313">
        <v>75</v>
      </c>
      <c r="G313" t="b">
        <v>0</v>
      </c>
      <c r="H313">
        <v>0</v>
      </c>
      <c r="K313" s="188">
        <f>IFERROR(_xlfn.XLOOKUP(A313,[1]Fleet!A:A,[1]Fleet!E:E,""),"")</f>
        <v>10</v>
      </c>
      <c r="L313" s="188" t="s">
        <v>76</v>
      </c>
      <c r="M313" s="188" t="s">
        <v>76</v>
      </c>
      <c r="N313" s="188" t="s">
        <v>559</v>
      </c>
      <c r="O313">
        <v>304</v>
      </c>
      <c r="P313">
        <f>_xlfn.XLOOKUP(A313,'[1]Classic Net to delete'!D:D,'[1]Classic Net to delete'!AA:AA,0)</f>
        <v>0</v>
      </c>
      <c r="Q313">
        <v>10</v>
      </c>
    </row>
    <row r="314" spans="1:17" x14ac:dyDescent="0.25">
      <c r="A314" t="s">
        <v>577</v>
      </c>
      <c r="B314" t="s">
        <v>573</v>
      </c>
      <c r="C314">
        <v>117.59</v>
      </c>
      <c r="D314" t="s">
        <v>553</v>
      </c>
      <c r="E314" t="s">
        <v>558</v>
      </c>
      <c r="F314">
        <v>75</v>
      </c>
      <c r="G314" t="b">
        <v>0</v>
      </c>
      <c r="H314">
        <v>0</v>
      </c>
      <c r="K314" s="188">
        <f>IFERROR(_xlfn.XLOOKUP(A314,[1]Fleet!A:A,[1]Fleet!E:E,""),"")</f>
        <v>4</v>
      </c>
      <c r="L314" s="188" t="s">
        <v>76</v>
      </c>
      <c r="M314" s="188" t="s">
        <v>76</v>
      </c>
      <c r="N314" s="188" t="s">
        <v>559</v>
      </c>
      <c r="O314">
        <v>307</v>
      </c>
      <c r="P314">
        <f>_xlfn.XLOOKUP(A314,'[1]Classic Net to delete'!D:D,'[1]Classic Net to delete'!AA:AA,0)</f>
        <v>0</v>
      </c>
      <c r="Q314">
        <v>12</v>
      </c>
    </row>
    <row r="315" spans="1:17" x14ac:dyDescent="0.25">
      <c r="A315" t="s">
        <v>577</v>
      </c>
      <c r="B315" t="s">
        <v>578</v>
      </c>
      <c r="C315">
        <v>117.59</v>
      </c>
      <c r="D315" t="s">
        <v>553</v>
      </c>
      <c r="E315" t="s">
        <v>558</v>
      </c>
      <c r="F315">
        <v>75</v>
      </c>
      <c r="G315" t="b">
        <v>0</v>
      </c>
      <c r="H315">
        <v>0</v>
      </c>
      <c r="K315" s="188">
        <f>IFERROR(_xlfn.XLOOKUP(A315,[1]Fleet!A:A,[1]Fleet!E:E,""),"")</f>
        <v>4</v>
      </c>
      <c r="L315" s="188" t="s">
        <v>76</v>
      </c>
      <c r="M315" s="188" t="s">
        <v>76</v>
      </c>
      <c r="N315" s="188" t="s">
        <v>559</v>
      </c>
      <c r="O315">
        <v>308</v>
      </c>
      <c r="P315">
        <f>_xlfn.XLOOKUP(A315,'[1]Classic Net to delete'!D:D,'[1]Classic Net to delete'!AA:AA,0)</f>
        <v>0</v>
      </c>
      <c r="Q315">
        <v>13</v>
      </c>
    </row>
    <row r="316" spans="1:17" x14ac:dyDescent="0.25">
      <c r="A316" t="s">
        <v>588</v>
      </c>
      <c r="B316" t="s">
        <v>584</v>
      </c>
      <c r="C316">
        <v>113.10000000000001</v>
      </c>
      <c r="D316" t="s">
        <v>553</v>
      </c>
      <c r="E316" t="s">
        <v>558</v>
      </c>
      <c r="F316">
        <v>75</v>
      </c>
      <c r="G316" t="b">
        <v>0</v>
      </c>
      <c r="H316">
        <v>0</v>
      </c>
      <c r="K316" s="188">
        <f>IFERROR(_xlfn.XLOOKUP(A316,[1]Fleet!A:A,[1]Fleet!E:E,""),"")</f>
        <v>4</v>
      </c>
      <c r="L316" s="188" t="s">
        <v>76</v>
      </c>
      <c r="M316" s="188" t="s">
        <v>76</v>
      </c>
      <c r="N316" s="188" t="s">
        <v>559</v>
      </c>
      <c r="O316">
        <v>303</v>
      </c>
      <c r="P316">
        <f>_xlfn.XLOOKUP(A316,'[1]Classic Net to delete'!D:D,'[1]Classic Net to delete'!AA:AA,0)</f>
        <v>0</v>
      </c>
      <c r="Q316">
        <v>27</v>
      </c>
    </row>
    <row r="317" spans="1:17" x14ac:dyDescent="0.25">
      <c r="A317" t="s">
        <v>726</v>
      </c>
      <c r="B317" t="s">
        <v>727</v>
      </c>
      <c r="C317">
        <v>63.77</v>
      </c>
      <c r="D317" t="s">
        <v>718</v>
      </c>
      <c r="E317" t="str">
        <f>CONCATENATE(J317,". ",N317)</f>
        <v>. Compactors</v>
      </c>
      <c r="F317">
        <v>75</v>
      </c>
      <c r="G317" t="b">
        <v>0</v>
      </c>
      <c r="H317">
        <v>0</v>
      </c>
      <c r="K317" s="188">
        <f>IFERROR(_xlfn.XLOOKUP(A317,[1]Fleet!A:A,[1]Fleet!E:E,""),"")</f>
        <v>2</v>
      </c>
      <c r="L317" s="188" t="s">
        <v>76</v>
      </c>
      <c r="M317" s="188" t="s">
        <v>76</v>
      </c>
      <c r="N317" s="188" t="s">
        <v>720</v>
      </c>
      <c r="O317">
        <v>323</v>
      </c>
      <c r="P317">
        <f>_xlfn.XLOOKUP(A317,'[1]Classic Net to delete'!D:D,'[1]Classic Net to delete'!AA:AA,0)</f>
        <v>0</v>
      </c>
    </row>
    <row r="318" spans="1:17" x14ac:dyDescent="0.25">
      <c r="A318" t="s">
        <v>735</v>
      </c>
      <c r="B318" t="s">
        <v>736</v>
      </c>
      <c r="C318">
        <v>214</v>
      </c>
      <c r="D318" t="s">
        <v>718</v>
      </c>
      <c r="E318" t="str">
        <f>CONCATENATE(J318,". ",N318)</f>
        <v>. Compactors</v>
      </c>
      <c r="F318">
        <v>75</v>
      </c>
      <c r="G318" t="b">
        <v>0</v>
      </c>
      <c r="H318">
        <v>0</v>
      </c>
      <c r="K318" s="188">
        <f>IFERROR(_xlfn.XLOOKUP(A318,[1]Fleet!A:A,[1]Fleet!E:E,""),"")</f>
        <v>1</v>
      </c>
      <c r="L318" s="188" t="s">
        <v>76</v>
      </c>
      <c r="M318" s="188" t="s">
        <v>76</v>
      </c>
      <c r="N318" s="188" t="s">
        <v>720</v>
      </c>
      <c r="O318">
        <v>327</v>
      </c>
      <c r="P318">
        <f>_xlfn.XLOOKUP(A318,'[1]Classic Net to delete'!D:D,'[1]Classic Net to delete'!AA:AA,0)</f>
        <v>0</v>
      </c>
    </row>
    <row r="319" spans="1:17" x14ac:dyDescent="0.25">
      <c r="A319" t="s">
        <v>745</v>
      </c>
      <c r="B319" t="s">
        <v>746</v>
      </c>
      <c r="C319">
        <v>126.21000000000001</v>
      </c>
      <c r="D319" t="s">
        <v>718</v>
      </c>
      <c r="E319" t="str">
        <f>CONCATENATE(J319,". ",N319)</f>
        <v>. Concreting</v>
      </c>
      <c r="F319">
        <v>75</v>
      </c>
      <c r="G319" t="b">
        <v>0</v>
      </c>
      <c r="H319">
        <v>0</v>
      </c>
      <c r="K319" s="188">
        <f>IFERROR(_xlfn.XLOOKUP(A319,[1]Fleet!A:A,[1]Fleet!E:E,""),"")</f>
        <v>2</v>
      </c>
      <c r="L319" s="188" t="s">
        <v>76</v>
      </c>
      <c r="M319" s="188" t="s">
        <v>76</v>
      </c>
      <c r="N319" s="188" t="s">
        <v>739</v>
      </c>
      <c r="O319">
        <v>331</v>
      </c>
      <c r="P319">
        <f>_xlfn.XLOOKUP(A319,'[1]Classic Net to delete'!D:D,'[1]Classic Net to delete'!AA:AA,0)</f>
        <v>0</v>
      </c>
    </row>
    <row r="320" spans="1:17" x14ac:dyDescent="0.25">
      <c r="A320" t="s">
        <v>802</v>
      </c>
      <c r="B320" t="s">
        <v>803</v>
      </c>
      <c r="C320">
        <v>56.76</v>
      </c>
      <c r="D320" t="s">
        <v>718</v>
      </c>
      <c r="E320" t="str">
        <f>CONCATENATE(J320,". ",N320)</f>
        <v>. Concreting</v>
      </c>
      <c r="F320">
        <v>75</v>
      </c>
      <c r="G320" t="b">
        <v>0</v>
      </c>
      <c r="H320">
        <v>0</v>
      </c>
      <c r="K320" s="188">
        <f>IFERROR(_xlfn.XLOOKUP(A320,[1]Fleet!A:A,[1]Fleet!E:E,""),"")</f>
        <v>2</v>
      </c>
      <c r="L320" s="188" t="s">
        <v>76</v>
      </c>
      <c r="M320" s="188" t="s">
        <v>76</v>
      </c>
      <c r="N320" s="188" t="s">
        <v>739</v>
      </c>
      <c r="O320">
        <v>339</v>
      </c>
      <c r="P320">
        <f>_xlfn.XLOOKUP(A320,'[1]Classic Net to delete'!D:D,'[1]Classic Net to delete'!AA:AA,0)</f>
        <v>0</v>
      </c>
    </row>
    <row r="321" spans="1:17" x14ac:dyDescent="0.25">
      <c r="A321" t="s">
        <v>2958</v>
      </c>
      <c r="B321" t="s">
        <v>2959</v>
      </c>
      <c r="C321">
        <v>0</v>
      </c>
      <c r="D321" t="s">
        <v>718</v>
      </c>
      <c r="E321" t="str">
        <f>CONCATENATE(J321,". ",N321)</f>
        <v>. Concreting</v>
      </c>
      <c r="F321">
        <v>75</v>
      </c>
      <c r="G321" t="b">
        <v>0</v>
      </c>
      <c r="H321">
        <v>0</v>
      </c>
      <c r="K321" s="188">
        <f>IFERROR(_xlfn.XLOOKUP(A321,[1]Fleet!A:A,[1]Fleet!E:E,""),"")</f>
        <v>1</v>
      </c>
      <c r="L321" s="188" t="s">
        <v>76</v>
      </c>
      <c r="M321" s="188" t="s">
        <v>76</v>
      </c>
      <c r="N321" s="188" t="s">
        <v>739</v>
      </c>
      <c r="O321">
        <v>345</v>
      </c>
      <c r="P321">
        <f>_xlfn.XLOOKUP(A321,'[1]Classic Net to delete'!D:D,'[1]Classic Net to delete'!AA:AA,0)</f>
        <v>0</v>
      </c>
      <c r="Q321">
        <v>10</v>
      </c>
    </row>
    <row r="322" spans="1:17" x14ac:dyDescent="0.25">
      <c r="A322" t="s">
        <v>757</v>
      </c>
      <c r="B322" t="s">
        <v>758</v>
      </c>
      <c r="C322">
        <v>205.65</v>
      </c>
      <c r="D322" t="s">
        <v>718</v>
      </c>
      <c r="E322" t="str">
        <f>CONCATENATE(J322,". ",N322)</f>
        <v>. Pokers</v>
      </c>
      <c r="F322">
        <v>75</v>
      </c>
      <c r="G322" t="b">
        <v>0</v>
      </c>
      <c r="H322">
        <v>0</v>
      </c>
      <c r="K322" s="188">
        <f>IFERROR(_xlfn.XLOOKUP(A322,[1]Fleet!A:A,[1]Fleet!E:E,""),"")</f>
        <v>25</v>
      </c>
      <c r="L322" s="188" t="s">
        <v>76</v>
      </c>
      <c r="M322" s="188" t="s">
        <v>76</v>
      </c>
      <c r="N322" s="188" t="s">
        <v>304</v>
      </c>
      <c r="O322">
        <v>361</v>
      </c>
      <c r="P322">
        <f>_xlfn.XLOOKUP(A322,'[1]Classic Net to delete'!D:D,'[1]Classic Net to delete'!AA:AA,0)</f>
        <v>0</v>
      </c>
    </row>
    <row r="323" spans="1:17" x14ac:dyDescent="0.25">
      <c r="A323" t="s">
        <v>759</v>
      </c>
      <c r="B323" t="s">
        <v>760</v>
      </c>
      <c r="C323">
        <v>205.65</v>
      </c>
      <c r="D323" t="s">
        <v>718</v>
      </c>
      <c r="E323" t="str">
        <f>CONCATENATE(J323,". ",N323)</f>
        <v>. Pokers</v>
      </c>
      <c r="F323">
        <v>75</v>
      </c>
      <c r="G323" t="b">
        <v>0</v>
      </c>
      <c r="H323">
        <v>0</v>
      </c>
      <c r="K323" s="188">
        <f>IFERROR(_xlfn.XLOOKUP(A323,[1]Fleet!A:A,[1]Fleet!E:E,""),"")</f>
        <v>91</v>
      </c>
      <c r="L323" s="188" t="s">
        <v>76</v>
      </c>
      <c r="M323" s="188" t="s">
        <v>76</v>
      </c>
      <c r="N323" s="188" t="s">
        <v>304</v>
      </c>
      <c r="O323">
        <v>354</v>
      </c>
      <c r="P323">
        <f>_xlfn.XLOOKUP(A323,'[1]Classic Net to delete'!D:D,'[1]Classic Net to delete'!AA:AA,0)</f>
        <v>0</v>
      </c>
    </row>
    <row r="324" spans="1:17" x14ac:dyDescent="0.25">
      <c r="A324" t="s">
        <v>761</v>
      </c>
      <c r="B324" t="s">
        <v>762</v>
      </c>
      <c r="C324">
        <v>205.65</v>
      </c>
      <c r="D324" t="s">
        <v>718</v>
      </c>
      <c r="E324" t="str">
        <f>CONCATENATE(J324,". ",N324)</f>
        <v>. Pokers</v>
      </c>
      <c r="F324">
        <v>75</v>
      </c>
      <c r="G324" t="b">
        <v>0</v>
      </c>
      <c r="H324">
        <v>0</v>
      </c>
      <c r="K324" s="188">
        <f>IFERROR(_xlfn.XLOOKUP(A324,[1]Fleet!A:A,[1]Fleet!E:E,""),"")</f>
        <v>82</v>
      </c>
      <c r="L324" s="188" t="s">
        <v>76</v>
      </c>
      <c r="M324" s="188" t="s">
        <v>76</v>
      </c>
      <c r="N324" s="188" t="s">
        <v>304</v>
      </c>
      <c r="O324">
        <v>355</v>
      </c>
      <c r="P324">
        <f>_xlfn.XLOOKUP(A324,'[1]Classic Net to delete'!D:D,'[1]Classic Net to delete'!AA:AA,0)</f>
        <v>0</v>
      </c>
    </row>
    <row r="325" spans="1:17" x14ac:dyDescent="0.25">
      <c r="A325" t="s">
        <v>761</v>
      </c>
      <c r="B325" t="s">
        <v>760</v>
      </c>
      <c r="C325">
        <v>205.65</v>
      </c>
      <c r="D325" t="s">
        <v>718</v>
      </c>
      <c r="E325" t="str">
        <f>CONCATENATE(J325,". ",N325)</f>
        <v>. Pokers</v>
      </c>
      <c r="F325">
        <v>75</v>
      </c>
      <c r="G325" t="b">
        <v>0</v>
      </c>
      <c r="H325">
        <v>0</v>
      </c>
      <c r="K325" s="188">
        <f>IFERROR(_xlfn.XLOOKUP(A325,[1]Fleet!A:A,[1]Fleet!E:E,""),"")</f>
        <v>82</v>
      </c>
      <c r="L325" s="188" t="s">
        <v>76</v>
      </c>
      <c r="M325" s="188" t="s">
        <v>76</v>
      </c>
      <c r="N325" s="188" t="s">
        <v>304</v>
      </c>
      <c r="O325">
        <v>365</v>
      </c>
      <c r="P325">
        <f>_xlfn.XLOOKUP(A325,'[1]Classic Net to delete'!D:D,'[1]Classic Net to delete'!AA:AA,0)</f>
        <v>0</v>
      </c>
    </row>
    <row r="326" spans="1:17" x14ac:dyDescent="0.25">
      <c r="A326" t="s">
        <v>761</v>
      </c>
      <c r="B326" t="s">
        <v>763</v>
      </c>
      <c r="C326">
        <v>205.65</v>
      </c>
      <c r="D326" t="s">
        <v>718</v>
      </c>
      <c r="E326" t="str">
        <f>CONCATENATE(J326,". ",N326)</f>
        <v>. Pokers</v>
      </c>
      <c r="F326">
        <v>75</v>
      </c>
      <c r="G326" t="b">
        <v>0</v>
      </c>
      <c r="H326">
        <v>0</v>
      </c>
      <c r="K326" s="188">
        <f>IFERROR(_xlfn.XLOOKUP(A326,[1]Fleet!A:A,[1]Fleet!E:E,""),"")</f>
        <v>82</v>
      </c>
      <c r="L326" s="188" t="s">
        <v>76</v>
      </c>
      <c r="M326" s="188" t="s">
        <v>76</v>
      </c>
      <c r="N326" s="188" t="s">
        <v>304</v>
      </c>
      <c r="O326">
        <v>366</v>
      </c>
      <c r="P326">
        <f>_xlfn.XLOOKUP(A326,'[1]Classic Net to delete'!D:D,'[1]Classic Net to delete'!AA:AA,0)</f>
        <v>0</v>
      </c>
    </row>
    <row r="327" spans="1:17" x14ac:dyDescent="0.25">
      <c r="A327" t="s">
        <v>761</v>
      </c>
      <c r="B327" t="s">
        <v>758</v>
      </c>
      <c r="C327">
        <v>205.65</v>
      </c>
      <c r="D327" t="s">
        <v>718</v>
      </c>
      <c r="E327" t="str">
        <f>CONCATENATE(J327,". ",N327)</f>
        <v>. Pokers</v>
      </c>
      <c r="F327">
        <v>75</v>
      </c>
      <c r="G327" t="b">
        <v>0</v>
      </c>
      <c r="H327">
        <v>0</v>
      </c>
      <c r="K327" s="188">
        <f>IFERROR(_xlfn.XLOOKUP(A327,[1]Fleet!A:A,[1]Fleet!E:E,""),"")</f>
        <v>82</v>
      </c>
      <c r="L327" s="188" t="s">
        <v>76</v>
      </c>
      <c r="M327" s="188" t="s">
        <v>76</v>
      </c>
      <c r="N327" s="188" t="s">
        <v>304</v>
      </c>
      <c r="O327">
        <v>367</v>
      </c>
      <c r="P327">
        <f>_xlfn.XLOOKUP(A327,'[1]Classic Net to delete'!D:D,'[1]Classic Net to delete'!AA:AA,0)</f>
        <v>0</v>
      </c>
    </row>
    <row r="328" spans="1:17" x14ac:dyDescent="0.25">
      <c r="A328" t="s">
        <v>771</v>
      </c>
      <c r="B328" t="s">
        <v>772</v>
      </c>
      <c r="C328">
        <v>47.03</v>
      </c>
      <c r="D328" t="s">
        <v>718</v>
      </c>
      <c r="E328" t="str">
        <f>CONCATENATE(J328,". ",N328)</f>
        <v>. Pokers</v>
      </c>
      <c r="F328">
        <v>75</v>
      </c>
      <c r="G328" t="b">
        <v>0</v>
      </c>
      <c r="H328">
        <v>0</v>
      </c>
      <c r="K328" s="188">
        <f>IFERROR(_xlfn.XLOOKUP(A328,[1]Fleet!A:A,[1]Fleet!E:E,""),"")</f>
        <v>5</v>
      </c>
      <c r="L328" s="188" t="s">
        <v>76</v>
      </c>
      <c r="M328" s="188" t="s">
        <v>76</v>
      </c>
      <c r="N328" s="188" t="s">
        <v>304</v>
      </c>
      <c r="O328">
        <v>357</v>
      </c>
      <c r="P328">
        <f>_xlfn.XLOOKUP(A328,'[1]Classic Net to delete'!D:D,'[1]Classic Net to delete'!AA:AA,0)</f>
        <v>0</v>
      </c>
    </row>
    <row r="329" spans="1:17" x14ac:dyDescent="0.25">
      <c r="A329" t="s">
        <v>775</v>
      </c>
      <c r="B329" t="s">
        <v>776</v>
      </c>
      <c r="C329">
        <v>160.5</v>
      </c>
      <c r="D329" t="s">
        <v>718</v>
      </c>
      <c r="E329" t="str">
        <f>CONCATENATE(J329,". ",N329)</f>
        <v>. Pokers</v>
      </c>
      <c r="F329">
        <v>75</v>
      </c>
      <c r="G329" t="b">
        <v>0</v>
      </c>
      <c r="H329">
        <v>0</v>
      </c>
      <c r="K329" s="188">
        <f>IFERROR(_xlfn.XLOOKUP(A329,[1]Fleet!A:A,[1]Fleet!E:E,""),"")</f>
        <v>1</v>
      </c>
      <c r="L329" s="188" t="s">
        <v>76</v>
      </c>
      <c r="M329" s="188" t="s">
        <v>76</v>
      </c>
      <c r="N329" s="188" t="s">
        <v>304</v>
      </c>
      <c r="O329">
        <v>362</v>
      </c>
      <c r="P329">
        <f>_xlfn.XLOOKUP(A329,'[1]Classic Net to delete'!D:D,'[1]Classic Net to delete'!AA:AA,0)</f>
        <v>0</v>
      </c>
    </row>
    <row r="330" spans="1:17" x14ac:dyDescent="0.25">
      <c r="A330" t="s">
        <v>777</v>
      </c>
      <c r="B330" t="s">
        <v>778</v>
      </c>
      <c r="C330">
        <v>53.5</v>
      </c>
      <c r="D330" t="s">
        <v>718</v>
      </c>
      <c r="E330" t="str">
        <f>CONCATENATE(J330,". ",N330)</f>
        <v>. Pokers</v>
      </c>
      <c r="F330">
        <v>75</v>
      </c>
      <c r="G330" t="b">
        <v>0</v>
      </c>
      <c r="H330">
        <v>0</v>
      </c>
      <c r="K330" s="188" t="str">
        <f>IFERROR(_xlfn.XLOOKUP(A330,[1]Fleet!A:A,[1]Fleet!E:E,""),"")</f>
        <v/>
      </c>
      <c r="L330" s="188" t="s">
        <v>76</v>
      </c>
      <c r="M330" s="188" t="s">
        <v>76</v>
      </c>
      <c r="N330" s="188" t="s">
        <v>304</v>
      </c>
      <c r="O330">
        <v>363</v>
      </c>
      <c r="P330">
        <f>_xlfn.XLOOKUP(A330,'[1]Classic Net to delete'!D:D,'[1]Classic Net to delete'!AA:AA,0)</f>
        <v>0</v>
      </c>
    </row>
    <row r="331" spans="1:17" x14ac:dyDescent="0.25">
      <c r="A331" t="s">
        <v>779</v>
      </c>
      <c r="B331" t="s">
        <v>780</v>
      </c>
      <c r="C331">
        <v>53.5</v>
      </c>
      <c r="D331" t="s">
        <v>718</v>
      </c>
      <c r="E331" t="str">
        <f>CONCATENATE(J331,". ",N331)</f>
        <v>. Pokers</v>
      </c>
      <c r="F331">
        <v>75</v>
      </c>
      <c r="G331" t="b">
        <v>0</v>
      </c>
      <c r="H331">
        <v>0</v>
      </c>
      <c r="K331" s="188">
        <f>IFERROR(_xlfn.XLOOKUP(A331,[1]Fleet!A:A,[1]Fleet!E:E,""),"")</f>
        <v>1</v>
      </c>
      <c r="L331" s="188" t="s">
        <v>76</v>
      </c>
      <c r="M331" s="188" t="s">
        <v>76</v>
      </c>
      <c r="N331" s="188" t="s">
        <v>304</v>
      </c>
      <c r="O331">
        <v>364</v>
      </c>
      <c r="P331">
        <f>_xlfn.XLOOKUP(A331,'[1]Classic Net to delete'!D:D,'[1]Classic Net to delete'!AA:AA,0)</f>
        <v>0</v>
      </c>
    </row>
    <row r="332" spans="1:17" x14ac:dyDescent="0.25">
      <c r="A332" t="s">
        <v>781</v>
      </c>
      <c r="B332" t="s">
        <v>782</v>
      </c>
      <c r="C332">
        <v>27.12</v>
      </c>
      <c r="D332" t="s">
        <v>718</v>
      </c>
      <c r="E332" t="str">
        <f>CONCATENATE(J332,". ",N332)</f>
        <v>01. Mixers</v>
      </c>
      <c r="F332">
        <v>75</v>
      </c>
      <c r="G332" t="b">
        <v>1</v>
      </c>
      <c r="H332">
        <v>408</v>
      </c>
      <c r="J332" s="193" t="s">
        <v>20</v>
      </c>
      <c r="K332" s="188">
        <f>IFERROR(_xlfn.XLOOKUP(A332,[1]Fleet!A:A,[1]Fleet!E:E,""),"")</f>
        <v>111</v>
      </c>
      <c r="L332" s="188">
        <v>25.35</v>
      </c>
      <c r="M332" s="188" t="s">
        <v>783</v>
      </c>
      <c r="N332" s="188" t="s">
        <v>784</v>
      </c>
      <c r="O332">
        <v>328</v>
      </c>
      <c r="P332">
        <f>_xlfn.XLOOKUP(A332,'[1]Classic Net to delete'!D:D,'[1]Classic Net to delete'!AA:AA,0)</f>
        <v>408</v>
      </c>
    </row>
    <row r="333" spans="1:17" x14ac:dyDescent="0.25">
      <c r="A333" t="s">
        <v>785</v>
      </c>
      <c r="B333" t="s">
        <v>786</v>
      </c>
      <c r="C333">
        <v>32.85</v>
      </c>
      <c r="D333" t="s">
        <v>718</v>
      </c>
      <c r="E333" t="str">
        <f>CONCATENATE(J333,". ",N333)</f>
        <v>01. Mixers</v>
      </c>
      <c r="F333">
        <v>75</v>
      </c>
      <c r="G333" t="b">
        <v>1</v>
      </c>
      <c r="H333">
        <v>409</v>
      </c>
      <c r="J333" s="193" t="s">
        <v>20</v>
      </c>
      <c r="K333" s="188">
        <f>IFERROR(_xlfn.XLOOKUP(A333,[1]Fleet!A:A,[1]Fleet!E:E,""),"")</f>
        <v>11</v>
      </c>
      <c r="L333" s="188">
        <v>30.700000000000003</v>
      </c>
      <c r="M333" s="188" t="s">
        <v>787</v>
      </c>
      <c r="N333" s="188" t="s">
        <v>784</v>
      </c>
      <c r="O333">
        <v>329</v>
      </c>
      <c r="P333">
        <f>_xlfn.XLOOKUP(A333,'[1]Classic Net to delete'!D:D,'[1]Classic Net to delete'!AA:AA,0)</f>
        <v>409</v>
      </c>
    </row>
    <row r="334" spans="1:17" x14ac:dyDescent="0.25">
      <c r="A334" t="s">
        <v>795</v>
      </c>
      <c r="B334" t="s">
        <v>796</v>
      </c>
      <c r="C334">
        <v>125.44</v>
      </c>
      <c r="D334" t="s">
        <v>718</v>
      </c>
      <c r="E334" t="str">
        <f>CONCATENATE(J334,". ",N334)</f>
        <v>01. Mixers</v>
      </c>
      <c r="F334">
        <v>75</v>
      </c>
      <c r="G334" t="b">
        <v>1</v>
      </c>
      <c r="H334">
        <v>410</v>
      </c>
      <c r="J334" s="193" t="s">
        <v>20</v>
      </c>
      <c r="K334" s="188">
        <f>IFERROR(_xlfn.XLOOKUP(A334,[1]Fleet!A:A,[1]Fleet!E:E,""),"")</f>
        <v>19</v>
      </c>
      <c r="L334" s="188">
        <v>112</v>
      </c>
      <c r="M334" s="188" t="s">
        <v>796</v>
      </c>
      <c r="N334" s="188" t="s">
        <v>784</v>
      </c>
      <c r="O334">
        <v>330</v>
      </c>
      <c r="P334">
        <f>_xlfn.XLOOKUP(A334,'[1]Classic Net to delete'!D:D,'[1]Classic Net to delete'!AA:AA,0)</f>
        <v>410</v>
      </c>
    </row>
    <row r="335" spans="1:17" x14ac:dyDescent="0.25">
      <c r="A335" t="s">
        <v>791</v>
      </c>
      <c r="B335" t="s">
        <v>792</v>
      </c>
      <c r="C335">
        <v>127.44</v>
      </c>
      <c r="D335" t="s">
        <v>718</v>
      </c>
      <c r="E335" t="str">
        <f>CONCATENATE(J335,". ",N335)</f>
        <v>01. Mixers</v>
      </c>
      <c r="F335">
        <v>75</v>
      </c>
      <c r="G335" t="b">
        <v>1</v>
      </c>
      <c r="H335">
        <v>411</v>
      </c>
      <c r="J335" s="193" t="s">
        <v>20</v>
      </c>
      <c r="K335" s="188">
        <f>IFERROR(_xlfn.XLOOKUP(A335,[1]Fleet!A:A,[1]Fleet!E:E,""),"")</f>
        <v>9</v>
      </c>
      <c r="L335" s="188">
        <v>119.10000000000001</v>
      </c>
      <c r="M335" s="188" t="s">
        <v>792</v>
      </c>
      <c r="N335" s="188" t="s">
        <v>784</v>
      </c>
      <c r="O335">
        <v>336</v>
      </c>
      <c r="P335">
        <f>_xlfn.XLOOKUP(A335,'[1]Classic Net to delete'!D:D,'[1]Classic Net to delete'!AA:AA,0)</f>
        <v>411</v>
      </c>
    </row>
    <row r="336" spans="1:17" x14ac:dyDescent="0.25">
      <c r="A336" t="s">
        <v>793</v>
      </c>
      <c r="B336" t="s">
        <v>794</v>
      </c>
      <c r="C336">
        <v>0</v>
      </c>
      <c r="D336" t="s">
        <v>718</v>
      </c>
      <c r="E336" t="str">
        <f>CONCATENATE(J336,". ",N336)</f>
        <v>01. Mixers</v>
      </c>
      <c r="F336">
        <v>75</v>
      </c>
      <c r="G336" t="b">
        <v>0</v>
      </c>
      <c r="H336">
        <v>412</v>
      </c>
      <c r="J336" s="193" t="s">
        <v>20</v>
      </c>
      <c r="K336" s="188">
        <f>IFERROR(_xlfn.XLOOKUP(A336,[1]Fleet!A:A,[1]Fleet!E:E,""),"")</f>
        <v>1</v>
      </c>
      <c r="L336" s="188">
        <v>239.70000000000002</v>
      </c>
      <c r="M336" s="188" t="s">
        <v>794</v>
      </c>
      <c r="N336" s="188" t="s">
        <v>784</v>
      </c>
      <c r="O336">
        <v>340</v>
      </c>
      <c r="P336">
        <f>_xlfn.XLOOKUP(A336,'[1]Classic Net to delete'!D:D,'[1]Classic Net to delete'!AA:AA,0)</f>
        <v>412</v>
      </c>
    </row>
    <row r="337" spans="1:17" x14ac:dyDescent="0.25">
      <c r="A337" t="s">
        <v>788</v>
      </c>
      <c r="B337" t="s">
        <v>789</v>
      </c>
      <c r="C337">
        <v>324</v>
      </c>
      <c r="D337" t="s">
        <v>718</v>
      </c>
      <c r="E337" t="str">
        <f>CONCATENATE(J337,". ",N337)</f>
        <v>01. Mixers</v>
      </c>
      <c r="F337">
        <v>75</v>
      </c>
      <c r="G337" t="b">
        <v>1</v>
      </c>
      <c r="H337">
        <v>413</v>
      </c>
      <c r="J337" s="193" t="s">
        <v>20</v>
      </c>
      <c r="K337" s="188">
        <f>IFERROR(_xlfn.XLOOKUP(A337,[1]Fleet!A:A,[1]Fleet!E:E,""),"")</f>
        <v>4</v>
      </c>
      <c r="L337" s="188">
        <v>302.8</v>
      </c>
      <c r="M337" s="188" t="s">
        <v>790</v>
      </c>
      <c r="N337" s="188" t="s">
        <v>784</v>
      </c>
      <c r="O337">
        <v>342</v>
      </c>
      <c r="P337">
        <f>_xlfn.XLOOKUP(A337,'[1]Classic Net to delete'!D:D,'[1]Classic Net to delete'!AA:AA,0)</f>
        <v>413</v>
      </c>
    </row>
    <row r="338" spans="1:17" x14ac:dyDescent="0.25">
      <c r="A338" t="s">
        <v>754</v>
      </c>
      <c r="B338" t="s">
        <v>755</v>
      </c>
      <c r="C338">
        <v>205.65</v>
      </c>
      <c r="D338" t="s">
        <v>718</v>
      </c>
      <c r="E338" t="str">
        <f>CONCATENATE(J338,". ",N338)</f>
        <v>02. Poker, Vibrator &amp; Drive Units</v>
      </c>
      <c r="F338">
        <v>75</v>
      </c>
      <c r="G338" t="b">
        <v>1</v>
      </c>
      <c r="H338">
        <v>417</v>
      </c>
      <c r="J338" s="193" t="s">
        <v>189</v>
      </c>
      <c r="K338" s="188">
        <f>IFERROR(_xlfn.XLOOKUP(A338,[1]Fleet!A:A,[1]Fleet!E:E,""),"")</f>
        <v>20</v>
      </c>
      <c r="L338" s="188">
        <v>192.20000000000002</v>
      </c>
      <c r="M338" s="188" t="s">
        <v>756</v>
      </c>
      <c r="N338" s="188" t="s">
        <v>751</v>
      </c>
      <c r="O338">
        <v>356</v>
      </c>
      <c r="P338">
        <f>_xlfn.XLOOKUP(A338,'[1]Classic Net to delete'!D:D,'[1]Classic Net to delete'!AA:AA,0)</f>
        <v>417</v>
      </c>
    </row>
    <row r="339" spans="1:17" x14ac:dyDescent="0.25">
      <c r="A339" t="s">
        <v>807</v>
      </c>
      <c r="B339" t="s">
        <v>763</v>
      </c>
      <c r="C339">
        <v>267.82</v>
      </c>
      <c r="D339" t="s">
        <v>718</v>
      </c>
      <c r="E339" t="str">
        <f>CONCATENATE(J339,". ",N339)</f>
        <v>02. Poker, Vibrator &amp; Drive Units</v>
      </c>
      <c r="F339">
        <v>75</v>
      </c>
      <c r="G339" t="b">
        <v>1</v>
      </c>
      <c r="H339">
        <v>418</v>
      </c>
      <c r="J339" s="193" t="s">
        <v>189</v>
      </c>
      <c r="K339" s="188">
        <f>IFERROR(_xlfn.XLOOKUP(A339,[1]Fleet!A:A,[1]Fleet!E:E,""),"")</f>
        <v>12</v>
      </c>
      <c r="L339" s="188">
        <v>250.3</v>
      </c>
      <c r="M339" s="188" t="s">
        <v>763</v>
      </c>
      <c r="N339" s="188" t="s">
        <v>751</v>
      </c>
      <c r="O339">
        <v>344</v>
      </c>
      <c r="P339">
        <f>_xlfn.XLOOKUP(A339,'[1]Classic Net to delete'!D:D,'[1]Classic Net to delete'!AA:AA,0)</f>
        <v>418</v>
      </c>
      <c r="Q339">
        <v>11</v>
      </c>
    </row>
    <row r="340" spans="1:17" x14ac:dyDescent="0.25">
      <c r="A340" t="s">
        <v>764</v>
      </c>
      <c r="B340" t="s">
        <v>765</v>
      </c>
      <c r="C340">
        <v>226.20000000000002</v>
      </c>
      <c r="D340" t="s">
        <v>718</v>
      </c>
      <c r="E340" t="str">
        <f>CONCATENATE(J340,". ",N340)</f>
        <v>02. Poker, Vibrator &amp; Drive Units</v>
      </c>
      <c r="F340">
        <v>75</v>
      </c>
      <c r="G340" t="b">
        <v>1</v>
      </c>
      <c r="H340">
        <v>419</v>
      </c>
      <c r="J340" s="193" t="s">
        <v>189</v>
      </c>
      <c r="K340" s="188">
        <f>IFERROR(_xlfn.XLOOKUP(A340,[1]Fleet!A:A,[1]Fleet!E:E,""),"")</f>
        <v>30</v>
      </c>
      <c r="L340" s="188">
        <v>211.4</v>
      </c>
      <c r="M340" s="188" t="s">
        <v>766</v>
      </c>
      <c r="N340" s="188" t="s">
        <v>751</v>
      </c>
      <c r="O340">
        <v>353</v>
      </c>
      <c r="P340">
        <f>_xlfn.XLOOKUP(A340,'[1]Classic Net to delete'!D:D,'[1]Classic Net to delete'!AA:AA,0)</f>
        <v>419</v>
      </c>
      <c r="Q340">
        <v>12</v>
      </c>
    </row>
    <row r="341" spans="1:17" x14ac:dyDescent="0.25">
      <c r="A341" t="s">
        <v>808</v>
      </c>
      <c r="B341" t="s">
        <v>809</v>
      </c>
      <c r="C341">
        <v>190.46</v>
      </c>
      <c r="D341" t="s">
        <v>718</v>
      </c>
      <c r="E341" t="str">
        <f>CONCATENATE(J341,". ",N341)</f>
        <v>02. Poker, Vibrator &amp; Drive Units</v>
      </c>
      <c r="F341">
        <v>75</v>
      </c>
      <c r="G341" t="b">
        <v>1</v>
      </c>
      <c r="H341">
        <v>420</v>
      </c>
      <c r="J341" s="193" t="s">
        <v>189</v>
      </c>
      <c r="K341" s="188">
        <f>IFERROR(_xlfn.XLOOKUP(A341,[1]Fleet!A:A,[1]Fleet!E:E,""),"")</f>
        <v>19</v>
      </c>
      <c r="L341" s="188">
        <v>178</v>
      </c>
      <c r="M341" s="188" t="s">
        <v>810</v>
      </c>
      <c r="N341" s="188" t="s">
        <v>751</v>
      </c>
      <c r="O341">
        <v>343</v>
      </c>
      <c r="P341">
        <f>_xlfn.XLOOKUP(A341,'[1]Classic Net to delete'!D:D,'[1]Classic Net to delete'!AA:AA,0)</f>
        <v>420</v>
      </c>
    </row>
    <row r="342" spans="1:17" x14ac:dyDescent="0.25">
      <c r="A342" t="s">
        <v>749</v>
      </c>
      <c r="B342" t="s">
        <v>750</v>
      </c>
      <c r="C342">
        <v>55.21</v>
      </c>
      <c r="D342" t="s">
        <v>718</v>
      </c>
      <c r="E342" t="str">
        <f>CONCATENATE(J342,". ",N342)</f>
        <v>02. Poker, Vibrator &amp; Drive Units</v>
      </c>
      <c r="F342">
        <v>75</v>
      </c>
      <c r="G342" t="b">
        <v>1</v>
      </c>
      <c r="H342">
        <v>421</v>
      </c>
      <c r="J342" s="193" t="s">
        <v>189</v>
      </c>
      <c r="K342" s="188">
        <f>IFERROR(_xlfn.XLOOKUP(A342,[1]Fleet!A:A,[1]Fleet!E:E,""),"")</f>
        <v>2</v>
      </c>
      <c r="L342" s="188">
        <v>51.6</v>
      </c>
      <c r="M342" s="188" t="s">
        <v>750</v>
      </c>
      <c r="N342" s="188" t="s">
        <v>751</v>
      </c>
      <c r="O342">
        <v>351</v>
      </c>
      <c r="P342">
        <f>_xlfn.XLOOKUP(A342,'[1]Classic Net to delete'!D:D,'[1]Classic Net to delete'!AA:AA,0)</f>
        <v>421</v>
      </c>
    </row>
    <row r="343" spans="1:17" x14ac:dyDescent="0.25">
      <c r="A343" t="s">
        <v>752</v>
      </c>
      <c r="B343" t="s">
        <v>753</v>
      </c>
      <c r="C343">
        <v>66.61</v>
      </c>
      <c r="D343" t="s">
        <v>718</v>
      </c>
      <c r="E343" t="str">
        <f>CONCATENATE(J343,". ",N343)</f>
        <v>02. Poker, Vibrator &amp; Drive Units</v>
      </c>
      <c r="F343">
        <v>75</v>
      </c>
      <c r="G343" t="b">
        <v>1</v>
      </c>
      <c r="H343">
        <v>422</v>
      </c>
      <c r="J343" s="193" t="s">
        <v>189</v>
      </c>
      <c r="K343" s="188">
        <f>IFERROR(_xlfn.XLOOKUP(A343,[1]Fleet!A:A,[1]Fleet!E:E,""),"")</f>
        <v>5</v>
      </c>
      <c r="L343" s="188">
        <v>62.25</v>
      </c>
      <c r="M343" s="188" t="s">
        <v>753</v>
      </c>
      <c r="N343" s="188" t="s">
        <v>751</v>
      </c>
      <c r="O343">
        <v>352</v>
      </c>
      <c r="P343">
        <f>_xlfn.XLOOKUP(A343,'[1]Classic Net to delete'!D:D,'[1]Classic Net to delete'!AA:AA,0)</f>
        <v>422</v>
      </c>
    </row>
    <row r="344" spans="1:17" x14ac:dyDescent="0.25">
      <c r="A344" t="s">
        <v>767</v>
      </c>
      <c r="B344" t="s">
        <v>768</v>
      </c>
      <c r="C344">
        <v>32.85</v>
      </c>
      <c r="D344" t="s">
        <v>718</v>
      </c>
      <c r="E344" t="str">
        <f>CONCATENATE(J344,". ",N344)</f>
        <v>02. Poker, Vibrator &amp; Drive Units</v>
      </c>
      <c r="F344">
        <v>75</v>
      </c>
      <c r="G344" t="b">
        <v>1</v>
      </c>
      <c r="H344">
        <v>423</v>
      </c>
      <c r="J344" s="193" t="s">
        <v>189</v>
      </c>
      <c r="K344" s="188">
        <f>IFERROR(_xlfn.XLOOKUP(A344,[1]Fleet!A:A,[1]Fleet!E:E,""),"")</f>
        <v>1</v>
      </c>
      <c r="L344" s="188">
        <v>30.700000000000003</v>
      </c>
      <c r="M344" s="188" t="s">
        <v>768</v>
      </c>
      <c r="N344" s="188" t="s">
        <v>751</v>
      </c>
      <c r="O344">
        <v>358</v>
      </c>
      <c r="P344">
        <f>_xlfn.XLOOKUP(A344,'[1]Classic Net to delete'!D:D,'[1]Classic Net to delete'!AA:AA,0)</f>
        <v>423</v>
      </c>
    </row>
    <row r="345" spans="1:17" x14ac:dyDescent="0.25">
      <c r="A345" t="s">
        <v>769</v>
      </c>
      <c r="B345" t="s">
        <v>770</v>
      </c>
      <c r="C345">
        <v>47.03</v>
      </c>
      <c r="D345" t="s">
        <v>718</v>
      </c>
      <c r="E345" t="str">
        <f>CONCATENATE(J345,". ",N345)</f>
        <v>02. Poker, Vibrator &amp; Drive Units</v>
      </c>
      <c r="F345">
        <v>75</v>
      </c>
      <c r="G345" t="b">
        <v>1</v>
      </c>
      <c r="H345">
        <v>424</v>
      </c>
      <c r="J345" s="193" t="s">
        <v>189</v>
      </c>
      <c r="K345" s="188">
        <f>IFERROR(_xlfn.XLOOKUP(A345,[1]Fleet!A:A,[1]Fleet!E:E,""),"")</f>
        <v>1</v>
      </c>
      <c r="L345" s="188">
        <v>43.95</v>
      </c>
      <c r="M345" s="188" t="s">
        <v>770</v>
      </c>
      <c r="N345" s="188" t="s">
        <v>751</v>
      </c>
      <c r="O345">
        <v>359</v>
      </c>
      <c r="P345">
        <f>_xlfn.XLOOKUP(A345,'[1]Classic Net to delete'!D:D,'[1]Classic Net to delete'!AA:AA,0)</f>
        <v>424</v>
      </c>
    </row>
    <row r="346" spans="1:17" x14ac:dyDescent="0.25">
      <c r="A346" t="s">
        <v>773</v>
      </c>
      <c r="B346" t="s">
        <v>774</v>
      </c>
      <c r="C346">
        <v>47.03</v>
      </c>
      <c r="D346" t="s">
        <v>718</v>
      </c>
      <c r="E346" t="str">
        <f>CONCATENATE(J346,". ",N346)</f>
        <v>02. Poker, Vibrator &amp; Drive Units</v>
      </c>
      <c r="F346">
        <v>75</v>
      </c>
      <c r="G346" t="b">
        <v>1</v>
      </c>
      <c r="H346">
        <v>425</v>
      </c>
      <c r="J346" s="193" t="s">
        <v>189</v>
      </c>
      <c r="K346" s="188">
        <f>IFERROR(_xlfn.XLOOKUP(A346,[1]Fleet!A:A,[1]Fleet!E:E,""),"")</f>
        <v>2</v>
      </c>
      <c r="L346" s="188">
        <v>43.95</v>
      </c>
      <c r="M346" s="188" t="s">
        <v>772</v>
      </c>
      <c r="N346" s="188" t="s">
        <v>751</v>
      </c>
      <c r="O346">
        <v>360</v>
      </c>
      <c r="P346">
        <f>_xlfn.XLOOKUP(A346,'[1]Classic Net to delete'!D:D,'[1]Classic Net to delete'!AA:AA,0)</f>
        <v>425</v>
      </c>
    </row>
    <row r="347" spans="1:17" x14ac:dyDescent="0.25">
      <c r="A347" t="s">
        <v>804</v>
      </c>
      <c r="B347" t="s">
        <v>805</v>
      </c>
      <c r="C347">
        <v>249.85</v>
      </c>
      <c r="D347" t="s">
        <v>718</v>
      </c>
      <c r="E347" t="str">
        <f>CONCATENATE(J347,". ",N347)</f>
        <v>03. Laying &amp; Finishing</v>
      </c>
      <c r="F347">
        <v>75</v>
      </c>
      <c r="G347" t="b">
        <v>1</v>
      </c>
      <c r="H347">
        <v>428</v>
      </c>
      <c r="J347" s="193" t="s">
        <v>188</v>
      </c>
      <c r="K347" s="188">
        <f>IFERROR(_xlfn.XLOOKUP(A347,[1]Fleet!A:A,[1]Fleet!E:E,""),"")</f>
        <v>2</v>
      </c>
      <c r="L347" s="188">
        <v>233.5</v>
      </c>
      <c r="M347" s="188" t="s">
        <v>806</v>
      </c>
      <c r="N347" s="188" t="s">
        <v>742</v>
      </c>
      <c r="O347">
        <v>338</v>
      </c>
      <c r="P347">
        <f>_xlfn.XLOOKUP(A347,'[1]Classic Net to delete'!D:D,'[1]Classic Net to delete'!AA:AA,0)</f>
        <v>428</v>
      </c>
    </row>
    <row r="348" spans="1:17" x14ac:dyDescent="0.25">
      <c r="A348" t="s">
        <v>747</v>
      </c>
      <c r="B348" t="s">
        <v>748</v>
      </c>
      <c r="C348">
        <v>132.1</v>
      </c>
      <c r="D348" t="s">
        <v>718</v>
      </c>
      <c r="E348" t="str">
        <f>CONCATENATE(J348,". ",N348)</f>
        <v>03. Laying &amp; Finishing</v>
      </c>
      <c r="F348">
        <v>75</v>
      </c>
      <c r="G348" t="b">
        <v>1</v>
      </c>
      <c r="H348">
        <v>429</v>
      </c>
      <c r="J348" s="193" t="s">
        <v>188</v>
      </c>
      <c r="K348" s="188">
        <f>IFERROR(_xlfn.XLOOKUP(A348,[1]Fleet!A:A,[1]Fleet!E:E,""),"")</f>
        <v>25</v>
      </c>
      <c r="L348" s="188">
        <v>117.95</v>
      </c>
      <c r="M348" s="188" t="s">
        <v>748</v>
      </c>
      <c r="N348" s="188" t="s">
        <v>742</v>
      </c>
      <c r="O348">
        <v>335</v>
      </c>
      <c r="P348">
        <f>_xlfn.XLOOKUP(A348,'[1]Classic Net to delete'!D:D,'[1]Classic Net to delete'!AA:AA,0)</f>
        <v>429</v>
      </c>
    </row>
    <row r="349" spans="1:17" x14ac:dyDescent="0.25">
      <c r="A349" t="s">
        <v>2157</v>
      </c>
      <c r="B349" t="s">
        <v>2158</v>
      </c>
      <c r="C349">
        <v>17.07</v>
      </c>
      <c r="D349" t="s">
        <v>718</v>
      </c>
      <c r="E349" t="str">
        <f>CONCATENATE(J349,". ",N349)</f>
        <v>03. Laying &amp; Finishing</v>
      </c>
      <c r="F349">
        <v>75</v>
      </c>
      <c r="G349" t="b">
        <v>1</v>
      </c>
      <c r="H349">
        <v>430</v>
      </c>
      <c r="J349" s="193" t="s">
        <v>188</v>
      </c>
      <c r="K349" s="188" t="str">
        <f>IFERROR(_xlfn.XLOOKUP(A349,[1]Fleet!A:A,[1]Fleet!E:E,""),"")</f>
        <v/>
      </c>
      <c r="L349" s="188">
        <v>15.950000000000001</v>
      </c>
      <c r="M349" s="188" t="s">
        <v>2158</v>
      </c>
      <c r="N349" s="188" t="s">
        <v>742</v>
      </c>
      <c r="O349">
        <v>346</v>
      </c>
      <c r="P349">
        <f>_xlfn.XLOOKUP(A349,'[1]Classic Net to delete'!D:D,'[1]Classic Net to delete'!AA:AA,0)</f>
        <v>430</v>
      </c>
    </row>
    <row r="350" spans="1:17" x14ac:dyDescent="0.25">
      <c r="A350" t="s">
        <v>743</v>
      </c>
      <c r="B350" t="s">
        <v>744</v>
      </c>
      <c r="C350">
        <v>45.15</v>
      </c>
      <c r="D350" t="s">
        <v>718</v>
      </c>
      <c r="E350" t="str">
        <f>CONCATENATE(J350,". ",N350)</f>
        <v>03. Laying &amp; Finishing</v>
      </c>
      <c r="F350">
        <v>75</v>
      </c>
      <c r="G350" t="b">
        <v>1</v>
      </c>
      <c r="H350">
        <v>431</v>
      </c>
      <c r="J350" s="193" t="s">
        <v>188</v>
      </c>
      <c r="K350" s="188">
        <f>IFERROR(_xlfn.XLOOKUP(A350,[1]Fleet!A:A,[1]Fleet!E:E,""),"")</f>
        <v>3</v>
      </c>
      <c r="L350" s="188">
        <v>42.2</v>
      </c>
      <c r="M350" s="188" t="s">
        <v>744</v>
      </c>
      <c r="N350" s="188" t="s">
        <v>742</v>
      </c>
      <c r="O350">
        <v>334</v>
      </c>
      <c r="P350">
        <f>_xlfn.XLOOKUP(A350,'[1]Classic Net to delete'!D:D,'[1]Classic Net to delete'!AA:AA,0)</f>
        <v>431</v>
      </c>
    </row>
    <row r="351" spans="1:17" x14ac:dyDescent="0.25">
      <c r="A351" t="s">
        <v>740</v>
      </c>
      <c r="B351" t="s">
        <v>741</v>
      </c>
      <c r="C351">
        <v>62.49</v>
      </c>
      <c r="D351" t="s">
        <v>718</v>
      </c>
      <c r="E351" t="str">
        <f>CONCATENATE(J351,". ",N351)</f>
        <v>03. Laying &amp; Finishing</v>
      </c>
      <c r="F351">
        <v>75</v>
      </c>
      <c r="G351" t="b">
        <v>1</v>
      </c>
      <c r="H351">
        <v>432</v>
      </c>
      <c r="J351" s="193" t="s">
        <v>188</v>
      </c>
      <c r="K351" s="188">
        <f>IFERROR(_xlfn.XLOOKUP(A351,[1]Fleet!A:A,[1]Fleet!E:E,""),"")</f>
        <v>10</v>
      </c>
      <c r="L351" s="188">
        <v>58.400000000000006</v>
      </c>
      <c r="M351" s="188" t="s">
        <v>741</v>
      </c>
      <c r="N351" s="188" t="s">
        <v>742</v>
      </c>
      <c r="O351">
        <v>333</v>
      </c>
      <c r="P351">
        <f>_xlfn.XLOOKUP(A351,'[1]Classic Net to delete'!D:D,'[1]Classic Net to delete'!AA:AA,0)</f>
        <v>432</v>
      </c>
    </row>
    <row r="352" spans="1:17" x14ac:dyDescent="0.25">
      <c r="A352" t="s">
        <v>797</v>
      </c>
      <c r="B352" t="s">
        <v>798</v>
      </c>
      <c r="C352">
        <v>59.33</v>
      </c>
      <c r="D352" t="s">
        <v>718</v>
      </c>
      <c r="E352" t="str">
        <f>CONCATENATE(J352,". ",N352)</f>
        <v>03. Laying &amp; Finishing</v>
      </c>
      <c r="F352">
        <v>75</v>
      </c>
      <c r="G352" t="b">
        <v>1</v>
      </c>
      <c r="H352">
        <v>433</v>
      </c>
      <c r="J352" s="193" t="s">
        <v>188</v>
      </c>
      <c r="K352" s="188">
        <f>IFERROR(_xlfn.XLOOKUP(A352,[1]Fleet!A:A,[1]Fleet!E:E,""),"")</f>
        <v>1</v>
      </c>
      <c r="L352" s="188">
        <v>55.45</v>
      </c>
      <c r="M352" s="188" t="s">
        <v>798</v>
      </c>
      <c r="N352" s="188" t="s">
        <v>742</v>
      </c>
      <c r="O352">
        <v>337</v>
      </c>
      <c r="P352">
        <f>_xlfn.XLOOKUP(A352,'[1]Classic Net to delete'!D:D,'[1]Classic Net to delete'!AA:AA,0)</f>
        <v>433</v>
      </c>
    </row>
    <row r="353" spans="1:16" x14ac:dyDescent="0.25">
      <c r="A353" t="s">
        <v>737</v>
      </c>
      <c r="B353" t="s">
        <v>738</v>
      </c>
      <c r="C353">
        <v>55.21</v>
      </c>
      <c r="D353" t="s">
        <v>718</v>
      </c>
      <c r="E353" t="str">
        <f>CONCATENATE(J353,". ",N353)</f>
        <v>04. Concreting</v>
      </c>
      <c r="F353">
        <v>75</v>
      </c>
      <c r="G353" t="b">
        <v>1</v>
      </c>
      <c r="H353">
        <v>437</v>
      </c>
      <c r="J353" s="193" t="s">
        <v>269</v>
      </c>
      <c r="K353" s="188">
        <f>IFERROR(_xlfn.XLOOKUP(A353,[1]Fleet!A:A,[1]Fleet!E:E,""),"")</f>
        <v>3</v>
      </c>
      <c r="L353" s="188">
        <v>51.6</v>
      </c>
      <c r="M353" s="188" t="s">
        <v>738</v>
      </c>
      <c r="N353" s="188" t="s">
        <v>739</v>
      </c>
      <c r="O353">
        <v>332</v>
      </c>
      <c r="P353">
        <f>_xlfn.XLOOKUP(A353,'[1]Classic Net to delete'!D:D,'[1]Classic Net to delete'!AA:AA,0)</f>
        <v>437</v>
      </c>
    </row>
    <row r="354" spans="1:16" x14ac:dyDescent="0.25">
      <c r="A354" t="s">
        <v>2159</v>
      </c>
      <c r="B354" t="s">
        <v>2160</v>
      </c>
      <c r="C354">
        <v>14.23</v>
      </c>
      <c r="D354" t="s">
        <v>718</v>
      </c>
      <c r="E354" t="str">
        <f>CONCATENATE(J354,". ",N354)</f>
        <v>04. Concreting</v>
      </c>
      <c r="F354">
        <v>75</v>
      </c>
      <c r="G354" t="b">
        <v>1</v>
      </c>
      <c r="H354">
        <v>438</v>
      </c>
      <c r="J354" s="193" t="s">
        <v>269</v>
      </c>
      <c r="K354" s="188" t="str">
        <f>IFERROR(_xlfn.XLOOKUP(A354,[1]Fleet!A:A,[1]Fleet!E:E,""),"")</f>
        <v/>
      </c>
      <c r="L354" s="188">
        <v>13.3</v>
      </c>
      <c r="M354" s="188" t="s">
        <v>2161</v>
      </c>
      <c r="N354" s="188" t="s">
        <v>739</v>
      </c>
      <c r="O354">
        <v>350</v>
      </c>
      <c r="P354">
        <f>_xlfn.XLOOKUP(A354,'[1]Classic Net to delete'!D:D,'[1]Classic Net to delete'!AA:AA,0)</f>
        <v>438</v>
      </c>
    </row>
    <row r="355" spans="1:16" x14ac:dyDescent="0.25">
      <c r="A355" t="s">
        <v>2164</v>
      </c>
      <c r="B355" t="s">
        <v>2165</v>
      </c>
      <c r="C355">
        <v>12.36</v>
      </c>
      <c r="D355" t="s">
        <v>718</v>
      </c>
      <c r="E355" t="str">
        <f>CONCATENATE(J355,". ",N355)</f>
        <v>04. Concreting</v>
      </c>
      <c r="F355">
        <v>75</v>
      </c>
      <c r="G355" t="b">
        <v>1</v>
      </c>
      <c r="H355">
        <v>439</v>
      </c>
      <c r="J355" s="193" t="s">
        <v>269</v>
      </c>
      <c r="K355" s="188" t="str">
        <f>IFERROR(_xlfn.XLOOKUP(A355,[1]Fleet!A:A,[1]Fleet!E:E,""),"")</f>
        <v/>
      </c>
      <c r="L355" s="188">
        <v>11.55</v>
      </c>
      <c r="M355" s="188" t="s">
        <v>2165</v>
      </c>
      <c r="N355" s="188" t="s">
        <v>739</v>
      </c>
      <c r="O355">
        <v>349</v>
      </c>
      <c r="P355">
        <f>_xlfn.XLOOKUP(A355,'[1]Classic Net to delete'!D:D,'[1]Classic Net to delete'!AA:AA,0)</f>
        <v>439</v>
      </c>
    </row>
    <row r="356" spans="1:16" x14ac:dyDescent="0.25">
      <c r="A356" t="s">
        <v>799</v>
      </c>
      <c r="B356" t="s">
        <v>800</v>
      </c>
      <c r="C356">
        <v>382.98</v>
      </c>
      <c r="D356" t="s">
        <v>718</v>
      </c>
      <c r="E356" t="str">
        <f>CONCATENATE(J356,". ",N356)</f>
        <v>04. Concreting</v>
      </c>
      <c r="F356">
        <v>75</v>
      </c>
      <c r="G356" t="b">
        <v>1</v>
      </c>
      <c r="H356">
        <v>442</v>
      </c>
      <c r="J356" s="193" t="s">
        <v>269</v>
      </c>
      <c r="K356" s="188">
        <f>IFERROR(_xlfn.XLOOKUP(A356,[1]Fleet!A:A,[1]Fleet!E:E,""),"")</f>
        <v>28</v>
      </c>
      <c r="L356" s="188">
        <v>341.95000000000005</v>
      </c>
      <c r="M356" s="188" t="s">
        <v>801</v>
      </c>
      <c r="N356" s="188" t="s">
        <v>739</v>
      </c>
      <c r="O356">
        <v>341</v>
      </c>
      <c r="P356">
        <f>_xlfn.XLOOKUP(A356,'[1]Classic Net to delete'!D:D,'[1]Classic Net to delete'!AA:AA,0)</f>
        <v>442</v>
      </c>
    </row>
    <row r="357" spans="1:16" x14ac:dyDescent="0.25">
      <c r="A357" t="s">
        <v>2169</v>
      </c>
      <c r="B357" t="s">
        <v>2170</v>
      </c>
      <c r="C357">
        <v>56.76</v>
      </c>
      <c r="D357" t="s">
        <v>718</v>
      </c>
      <c r="E357" t="str">
        <f>CONCATENATE(J357,". ",N357)</f>
        <v>04. Concreting</v>
      </c>
      <c r="F357">
        <v>75</v>
      </c>
      <c r="G357" t="b">
        <v>1</v>
      </c>
      <c r="H357">
        <v>443</v>
      </c>
      <c r="J357" s="193" t="s">
        <v>269</v>
      </c>
      <c r="K357" s="188" t="str">
        <f>IFERROR(_xlfn.XLOOKUP(A357,[1]Fleet!A:A,[1]Fleet!E:E,""),"")</f>
        <v/>
      </c>
      <c r="L357" s="188">
        <v>53.050000000000004</v>
      </c>
      <c r="M357" s="188" t="s">
        <v>2170</v>
      </c>
      <c r="N357" s="188" t="s">
        <v>739</v>
      </c>
      <c r="O357">
        <v>348</v>
      </c>
      <c r="P357">
        <f>_xlfn.XLOOKUP(A357,'[1]Classic Net to delete'!D:D,'[1]Classic Net to delete'!AA:AA,0)</f>
        <v>443</v>
      </c>
    </row>
    <row r="358" spans="1:16" x14ac:dyDescent="0.25">
      <c r="A358" t="s">
        <v>716</v>
      </c>
      <c r="B358" t="s">
        <v>717</v>
      </c>
      <c r="C358">
        <v>66.61</v>
      </c>
      <c r="D358" t="s">
        <v>718</v>
      </c>
      <c r="E358" t="str">
        <f>CONCATENATE(J358,". ",N358)</f>
        <v>05. Compactors</v>
      </c>
      <c r="F358">
        <v>75</v>
      </c>
      <c r="G358" t="b">
        <v>1</v>
      </c>
      <c r="H358">
        <v>446</v>
      </c>
      <c r="J358" s="193" t="s">
        <v>263</v>
      </c>
      <c r="K358" s="188">
        <f>IFERROR(_xlfn.XLOOKUP(A358,[1]Fleet!A:A,[1]Fleet!E:E,""),"")</f>
        <v>20</v>
      </c>
      <c r="L358" s="188">
        <v>62.25</v>
      </c>
      <c r="M358" s="188" t="s">
        <v>719</v>
      </c>
      <c r="N358" s="188" t="s">
        <v>720</v>
      </c>
      <c r="O358">
        <v>320</v>
      </c>
      <c r="P358">
        <f>_xlfn.XLOOKUP(A358,'[1]Classic Net to delete'!D:D,'[1]Classic Net to delete'!AA:AA,0)</f>
        <v>446</v>
      </c>
    </row>
    <row r="359" spans="1:16" x14ac:dyDescent="0.25">
      <c r="A359" t="s">
        <v>721</v>
      </c>
      <c r="B359" t="s">
        <v>722</v>
      </c>
      <c r="C359">
        <v>63.77</v>
      </c>
      <c r="D359" t="s">
        <v>718</v>
      </c>
      <c r="E359" t="str">
        <f>CONCATENATE(J359,". ",N359)</f>
        <v>05. Compactors</v>
      </c>
      <c r="F359">
        <v>75</v>
      </c>
      <c r="G359" t="b">
        <v>1</v>
      </c>
      <c r="H359">
        <v>447</v>
      </c>
      <c r="J359" s="193" t="s">
        <v>263</v>
      </c>
      <c r="K359" s="188">
        <f>IFERROR(_xlfn.XLOOKUP(A359,[1]Fleet!A:A,[1]Fleet!E:E,""),"")</f>
        <v>35</v>
      </c>
      <c r="L359" s="188">
        <v>59.6</v>
      </c>
      <c r="M359" s="188" t="s">
        <v>723</v>
      </c>
      <c r="N359" s="188" t="s">
        <v>720</v>
      </c>
      <c r="O359">
        <v>321</v>
      </c>
      <c r="P359">
        <f>_xlfn.XLOOKUP(A359,'[1]Classic Net to delete'!D:D,'[1]Classic Net to delete'!AA:AA,0)</f>
        <v>447</v>
      </c>
    </row>
    <row r="360" spans="1:16" x14ac:dyDescent="0.25">
      <c r="A360" t="s">
        <v>2166</v>
      </c>
      <c r="B360" t="s">
        <v>2167</v>
      </c>
      <c r="C360">
        <v>19.900000000000002</v>
      </c>
      <c r="D360" t="s">
        <v>718</v>
      </c>
      <c r="E360" t="str">
        <f>CONCATENATE(J360,". ",N360)</f>
        <v>05. Compactors</v>
      </c>
      <c r="F360">
        <v>75</v>
      </c>
      <c r="G360" t="b">
        <v>1</v>
      </c>
      <c r="H360">
        <v>448</v>
      </c>
      <c r="J360" s="193" t="s">
        <v>263</v>
      </c>
      <c r="K360" s="188" t="str">
        <f>IFERROR(_xlfn.XLOOKUP(A360,[1]Fleet!A:A,[1]Fleet!E:E,""),"")</f>
        <v/>
      </c>
      <c r="L360" s="188">
        <v>18.600000000000001</v>
      </c>
      <c r="M360" s="188" t="s">
        <v>2168</v>
      </c>
      <c r="N360" s="188" t="s">
        <v>720</v>
      </c>
      <c r="O360">
        <v>319</v>
      </c>
      <c r="P360">
        <f>_xlfn.XLOOKUP(A360,'[1]Classic Net to delete'!D:D,'[1]Classic Net to delete'!AA:AA,0)</f>
        <v>448</v>
      </c>
    </row>
    <row r="361" spans="1:16" x14ac:dyDescent="0.25">
      <c r="A361" t="s">
        <v>724</v>
      </c>
      <c r="B361" t="s">
        <v>725</v>
      </c>
      <c r="C361">
        <v>93.41</v>
      </c>
      <c r="D361" t="s">
        <v>718</v>
      </c>
      <c r="E361" t="str">
        <f>CONCATENATE(J361,". ",N361)</f>
        <v>05. Compactors</v>
      </c>
      <c r="F361">
        <v>75</v>
      </c>
      <c r="G361" t="b">
        <v>1</v>
      </c>
      <c r="H361">
        <v>449</v>
      </c>
      <c r="J361" s="193" t="s">
        <v>263</v>
      </c>
      <c r="K361" s="188">
        <f>IFERROR(_xlfn.XLOOKUP(A361,[1]Fleet!A:A,[1]Fleet!E:E,""),"")</f>
        <v>4</v>
      </c>
      <c r="L361" s="188">
        <v>87.300000000000011</v>
      </c>
      <c r="M361" s="188" t="s">
        <v>725</v>
      </c>
      <c r="N361" s="188" t="s">
        <v>720</v>
      </c>
      <c r="O361">
        <v>322</v>
      </c>
      <c r="P361">
        <f>_xlfn.XLOOKUP(A361,'[1]Classic Net to delete'!D:D,'[1]Classic Net to delete'!AA:AA,0)</f>
        <v>449</v>
      </c>
    </row>
    <row r="362" spans="1:16" x14ac:dyDescent="0.25">
      <c r="A362" t="s">
        <v>731</v>
      </c>
      <c r="B362" t="s">
        <v>732</v>
      </c>
      <c r="C362">
        <v>172.86</v>
      </c>
      <c r="D362" t="s">
        <v>718</v>
      </c>
      <c r="E362" t="str">
        <f>CONCATENATE(J362,". ",N362)</f>
        <v>05. Compactors</v>
      </c>
      <c r="F362">
        <v>75</v>
      </c>
      <c r="G362" t="b">
        <v>1</v>
      </c>
      <c r="H362">
        <v>450</v>
      </c>
      <c r="J362" s="193" t="s">
        <v>263</v>
      </c>
      <c r="K362" s="188">
        <f>IFERROR(_xlfn.XLOOKUP(A362,[1]Fleet!A:A,[1]Fleet!E:E,""),"")</f>
        <v>27</v>
      </c>
      <c r="L362" s="188">
        <v>161.55000000000001</v>
      </c>
      <c r="M362" s="188" t="s">
        <v>732</v>
      </c>
      <c r="N362" s="188" t="s">
        <v>720</v>
      </c>
      <c r="O362">
        <v>326</v>
      </c>
      <c r="P362">
        <f>_xlfn.XLOOKUP(A362,'[1]Classic Net to delete'!D:D,'[1]Classic Net to delete'!AA:AA,0)</f>
        <v>450</v>
      </c>
    </row>
    <row r="363" spans="1:16" x14ac:dyDescent="0.25">
      <c r="A363" t="s">
        <v>728</v>
      </c>
      <c r="B363" t="s">
        <v>729</v>
      </c>
      <c r="C363">
        <v>230.91</v>
      </c>
      <c r="D363" t="s">
        <v>718</v>
      </c>
      <c r="E363" t="str">
        <f>CONCATENATE(J363,". ",N363)</f>
        <v>05. Compactors</v>
      </c>
      <c r="F363">
        <v>75</v>
      </c>
      <c r="G363" t="b">
        <v>1</v>
      </c>
      <c r="H363">
        <v>451</v>
      </c>
      <c r="J363" s="193" t="s">
        <v>263</v>
      </c>
      <c r="K363" s="188">
        <f>IFERROR(_xlfn.XLOOKUP(A363,[1]Fleet!A:A,[1]Fleet!E:E,""),"")</f>
        <v>5</v>
      </c>
      <c r="L363" s="188">
        <v>215.8</v>
      </c>
      <c r="M363" s="188" t="s">
        <v>730</v>
      </c>
      <c r="N363" s="188" t="s">
        <v>720</v>
      </c>
      <c r="O363">
        <v>325</v>
      </c>
      <c r="P363">
        <f>_xlfn.XLOOKUP(A363,'[1]Classic Net to delete'!D:D,'[1]Classic Net to delete'!AA:AA,0)</f>
        <v>451</v>
      </c>
    </row>
    <row r="364" spans="1:16" x14ac:dyDescent="0.25">
      <c r="A364" t="s">
        <v>733</v>
      </c>
      <c r="B364" t="s">
        <v>734</v>
      </c>
      <c r="C364">
        <v>121.77</v>
      </c>
      <c r="D364" t="s">
        <v>718</v>
      </c>
      <c r="E364" t="str">
        <f>CONCATENATE(J364,". ",N364)</f>
        <v>05. Compactors</v>
      </c>
      <c r="F364">
        <v>75</v>
      </c>
      <c r="G364" t="b">
        <v>1</v>
      </c>
      <c r="H364">
        <v>452</v>
      </c>
      <c r="J364" s="193" t="s">
        <v>263</v>
      </c>
      <c r="K364" s="188">
        <f>IFERROR(_xlfn.XLOOKUP(A364,[1]Fleet!A:A,[1]Fleet!E:E,""),"")</f>
        <v>12</v>
      </c>
      <c r="L364" s="188">
        <v>113.80000000000001</v>
      </c>
      <c r="M364" s="188" t="s">
        <v>734</v>
      </c>
      <c r="N364" s="188" t="s">
        <v>720</v>
      </c>
      <c r="O364">
        <v>324</v>
      </c>
      <c r="P364">
        <f>_xlfn.XLOOKUP(A364,'[1]Classic Net to delete'!D:D,'[1]Classic Net to delete'!AA:AA,0)</f>
        <v>452</v>
      </c>
    </row>
    <row r="365" spans="1:16" x14ac:dyDescent="0.25">
      <c r="A365" t="s">
        <v>838</v>
      </c>
      <c r="B365" t="s">
        <v>839</v>
      </c>
      <c r="C365">
        <v>30.330000000000002</v>
      </c>
      <c r="D365" t="s">
        <v>813</v>
      </c>
      <c r="E365" t="str">
        <f>CONCATENATE(J365,". ",N365)</f>
        <v>. Accessories</v>
      </c>
      <c r="F365">
        <v>75</v>
      </c>
      <c r="G365" t="b">
        <v>0</v>
      </c>
      <c r="H365">
        <v>0</v>
      </c>
      <c r="K365" s="188">
        <f>IFERROR(_xlfn.XLOOKUP(A365,[1]Fleet!A:A,[1]Fleet!E:E,""),"")</f>
        <v>8</v>
      </c>
      <c r="L365" s="188" t="s">
        <v>76</v>
      </c>
      <c r="M365" s="188" t="s">
        <v>76</v>
      </c>
      <c r="N365" s="188" t="s">
        <v>840</v>
      </c>
      <c r="O365">
        <v>371</v>
      </c>
      <c r="P365">
        <f>_xlfn.XLOOKUP(A365,'[1]Classic Net to delete'!D:D,'[1]Classic Net to delete'!AA:AA,0)</f>
        <v>0</v>
      </c>
    </row>
    <row r="366" spans="1:16" x14ac:dyDescent="0.25">
      <c r="A366" t="s">
        <v>844</v>
      </c>
      <c r="B366" t="s">
        <v>845</v>
      </c>
      <c r="C366">
        <v>15.46</v>
      </c>
      <c r="D366" t="s">
        <v>813</v>
      </c>
      <c r="E366" t="str">
        <f>CONCATENATE(J366,". ",N366)</f>
        <v>. Accessories</v>
      </c>
      <c r="F366">
        <v>75</v>
      </c>
      <c r="G366" t="b">
        <v>0</v>
      </c>
      <c r="H366">
        <v>0</v>
      </c>
      <c r="K366" s="188">
        <f>IFERROR(_xlfn.XLOOKUP(A366,[1]Fleet!A:A,[1]Fleet!E:E,""),"")</f>
        <v>7</v>
      </c>
      <c r="L366" s="188" t="s">
        <v>76</v>
      </c>
      <c r="M366" s="188" t="s">
        <v>76</v>
      </c>
      <c r="N366" s="188" t="s">
        <v>840</v>
      </c>
      <c r="O366">
        <v>370</v>
      </c>
      <c r="P366">
        <f>_xlfn.XLOOKUP(A366,'[1]Classic Net to delete'!D:D,'[1]Classic Net to delete'!AA:AA,0)</f>
        <v>0</v>
      </c>
    </row>
    <row r="367" spans="1:16" x14ac:dyDescent="0.25">
      <c r="A367" t="s">
        <v>850</v>
      </c>
      <c r="B367" t="s">
        <v>851</v>
      </c>
      <c r="C367">
        <v>16.420000000000002</v>
      </c>
      <c r="D367" t="s">
        <v>813</v>
      </c>
      <c r="E367" t="str">
        <f>CONCATENATE(J367,". ",N367)</f>
        <v>. Accessories</v>
      </c>
      <c r="F367">
        <v>75</v>
      </c>
      <c r="G367" t="b">
        <v>0</v>
      </c>
      <c r="H367">
        <v>0</v>
      </c>
      <c r="K367" s="188">
        <f>IFERROR(_xlfn.XLOOKUP(A367,[1]Fleet!A:A,[1]Fleet!E:E,""),"")</f>
        <v>8</v>
      </c>
      <c r="L367" s="188" t="s">
        <v>76</v>
      </c>
      <c r="M367" s="188" t="s">
        <v>76</v>
      </c>
      <c r="N367" s="188" t="s">
        <v>840</v>
      </c>
      <c r="O367">
        <v>372</v>
      </c>
      <c r="P367">
        <f>_xlfn.XLOOKUP(A367,'[1]Classic Net to delete'!D:D,'[1]Classic Net to delete'!AA:AA,0)</f>
        <v>0</v>
      </c>
    </row>
    <row r="368" spans="1:16" x14ac:dyDescent="0.25">
      <c r="A368" t="s">
        <v>850</v>
      </c>
      <c r="B368" t="s">
        <v>836</v>
      </c>
      <c r="C368">
        <v>16.420000000000002</v>
      </c>
      <c r="D368" t="s">
        <v>813</v>
      </c>
      <c r="E368" t="str">
        <f>CONCATENATE(J368,". ",N368)</f>
        <v>. Accessories</v>
      </c>
      <c r="F368">
        <v>75</v>
      </c>
      <c r="G368" t="b">
        <v>0</v>
      </c>
      <c r="H368">
        <v>0</v>
      </c>
      <c r="K368" s="188">
        <f>IFERROR(_xlfn.XLOOKUP(A368,[1]Fleet!A:A,[1]Fleet!E:E,""),"")</f>
        <v>8</v>
      </c>
      <c r="L368" s="188" t="s">
        <v>76</v>
      </c>
      <c r="M368" s="188" t="s">
        <v>76</v>
      </c>
      <c r="N368" s="188" t="s">
        <v>840</v>
      </c>
      <c r="O368">
        <v>373</v>
      </c>
      <c r="P368">
        <f>_xlfn.XLOOKUP(A368,'[1]Classic Net to delete'!D:D,'[1]Classic Net to delete'!AA:AA,0)</f>
        <v>0</v>
      </c>
    </row>
    <row r="369" spans="1:16" x14ac:dyDescent="0.25">
      <c r="A369" t="s">
        <v>852</v>
      </c>
      <c r="B369" t="s">
        <v>853</v>
      </c>
      <c r="C369">
        <v>16.420000000000002</v>
      </c>
      <c r="D369" t="s">
        <v>813</v>
      </c>
      <c r="E369" t="str">
        <f>CONCATENATE(J369,". ",N369)</f>
        <v>. Accessories</v>
      </c>
      <c r="F369">
        <v>75</v>
      </c>
      <c r="G369" t="b">
        <v>0</v>
      </c>
      <c r="H369">
        <v>0</v>
      </c>
      <c r="K369" s="188">
        <f>IFERROR(_xlfn.XLOOKUP(A369,[1]Fleet!A:A,[1]Fleet!E:E,""),"")</f>
        <v>3</v>
      </c>
      <c r="L369" s="188" t="s">
        <v>76</v>
      </c>
      <c r="M369" s="188" t="s">
        <v>76</v>
      </c>
      <c r="N369" s="188" t="s">
        <v>840</v>
      </c>
      <c r="O369">
        <v>374</v>
      </c>
      <c r="P369">
        <f>_xlfn.XLOOKUP(A369,'[1]Classic Net to delete'!D:D,'[1]Classic Net to delete'!AA:AA,0)</f>
        <v>0</v>
      </c>
    </row>
    <row r="370" spans="1:16" x14ac:dyDescent="0.25">
      <c r="A370" t="s">
        <v>1349</v>
      </c>
      <c r="B370" t="s">
        <v>1350</v>
      </c>
      <c r="C370">
        <v>48.38</v>
      </c>
      <c r="D370" t="s">
        <v>813</v>
      </c>
      <c r="E370" t="str">
        <f>CONCATENATE(J370,". ",N370)</f>
        <v>. Circular and Mitre Saws</v>
      </c>
      <c r="F370">
        <v>75</v>
      </c>
      <c r="G370" t="b">
        <v>0</v>
      </c>
      <c r="H370">
        <v>0</v>
      </c>
      <c r="K370" s="188">
        <f>IFERROR(_xlfn.XLOOKUP(A370,[1]Fleet!A:A,[1]Fleet!E:E,""),"")</f>
        <v>5</v>
      </c>
      <c r="L370" s="188" t="s">
        <v>76</v>
      </c>
      <c r="M370" s="188" t="s">
        <v>76</v>
      </c>
      <c r="N370" s="188" t="s">
        <v>1351</v>
      </c>
      <c r="O370">
        <v>388</v>
      </c>
      <c r="P370">
        <f>_xlfn.XLOOKUP(A370,'[1]Classic Net to delete'!D:D,'[1]Classic Net to delete'!AA:AA,0)</f>
        <v>0</v>
      </c>
    </row>
    <row r="371" spans="1:16" x14ac:dyDescent="0.25">
      <c r="A371" t="s">
        <v>1361</v>
      </c>
      <c r="B371" t="s">
        <v>1362</v>
      </c>
      <c r="C371">
        <v>46.33</v>
      </c>
      <c r="D371" t="s">
        <v>813</v>
      </c>
      <c r="E371" t="str">
        <f>CONCATENATE(J371,". ",N371)</f>
        <v>. Circular and Mitre Saws</v>
      </c>
      <c r="F371">
        <v>75</v>
      </c>
      <c r="G371" t="b">
        <v>0</v>
      </c>
      <c r="H371">
        <v>0</v>
      </c>
      <c r="K371" s="188">
        <f>IFERROR(_xlfn.XLOOKUP(A371,[1]Fleet!A:A,[1]Fleet!E:E,""),"")</f>
        <v>11</v>
      </c>
      <c r="L371" s="188" t="s">
        <v>76</v>
      </c>
      <c r="M371" s="188" t="s">
        <v>76</v>
      </c>
      <c r="N371" s="188" t="s">
        <v>1351</v>
      </c>
      <c r="O371">
        <v>376</v>
      </c>
      <c r="P371">
        <f>_xlfn.XLOOKUP(A371,'[1]Classic Net to delete'!D:D,'[1]Classic Net to delete'!AA:AA,0)</f>
        <v>0</v>
      </c>
    </row>
    <row r="372" spans="1:16" x14ac:dyDescent="0.25">
      <c r="A372" t="s">
        <v>1366</v>
      </c>
      <c r="B372" t="s">
        <v>1367</v>
      </c>
      <c r="C372">
        <v>41.36</v>
      </c>
      <c r="D372" t="s">
        <v>813</v>
      </c>
      <c r="E372" t="str">
        <f>CONCATENATE(J372,". ",N372)</f>
        <v>. Circular and Mitre Saws</v>
      </c>
      <c r="F372">
        <v>75</v>
      </c>
      <c r="G372" t="b">
        <v>0</v>
      </c>
      <c r="H372">
        <v>0</v>
      </c>
      <c r="K372" s="188">
        <f>IFERROR(_xlfn.XLOOKUP(A372,[1]Fleet!A:A,[1]Fleet!E:E,""),"")</f>
        <v>6</v>
      </c>
      <c r="L372" s="188" t="s">
        <v>76</v>
      </c>
      <c r="M372" s="188" t="s">
        <v>76</v>
      </c>
      <c r="N372" s="188" t="s">
        <v>1351</v>
      </c>
      <c r="O372">
        <v>392</v>
      </c>
      <c r="P372">
        <f>_xlfn.XLOOKUP(A372,'[1]Classic Net to delete'!D:D,'[1]Classic Net to delete'!AA:AA,0)</f>
        <v>0</v>
      </c>
    </row>
    <row r="373" spans="1:16" x14ac:dyDescent="0.25">
      <c r="A373" t="s">
        <v>1461</v>
      </c>
      <c r="B373" t="s">
        <v>1462</v>
      </c>
      <c r="C373">
        <v>79.23</v>
      </c>
      <c r="D373" t="s">
        <v>813</v>
      </c>
      <c r="E373" t="str">
        <f>CONCATENATE(J373,". ",N373)</f>
        <v>. Circular and Mitre Saws</v>
      </c>
      <c r="F373">
        <v>75</v>
      </c>
      <c r="G373" t="b">
        <v>0</v>
      </c>
      <c r="H373">
        <v>0</v>
      </c>
      <c r="K373" s="188">
        <f>IFERROR(_xlfn.XLOOKUP(A373,[1]Fleet!A:A,[1]Fleet!E:E,""),"")</f>
        <v>4</v>
      </c>
      <c r="L373" s="188" t="s">
        <v>76</v>
      </c>
      <c r="M373" s="188" t="s">
        <v>76</v>
      </c>
      <c r="N373" s="188" t="s">
        <v>1351</v>
      </c>
      <c r="O373">
        <v>393</v>
      </c>
      <c r="P373">
        <f>_xlfn.XLOOKUP(A373,'[1]Classic Net to delete'!D:D,'[1]Classic Net to delete'!AA:AA,0)</f>
        <v>0</v>
      </c>
    </row>
    <row r="374" spans="1:16" x14ac:dyDescent="0.25">
      <c r="A374" t="s">
        <v>1465</v>
      </c>
      <c r="B374" t="s">
        <v>1466</v>
      </c>
      <c r="C374">
        <v>102.93</v>
      </c>
      <c r="D374" t="s">
        <v>813</v>
      </c>
      <c r="E374" t="str">
        <f>CONCATENATE(J374,". ",N374)</f>
        <v>. Circular and Mitre Saws</v>
      </c>
      <c r="F374">
        <v>75</v>
      </c>
      <c r="G374" t="b">
        <v>0</v>
      </c>
      <c r="H374">
        <v>0</v>
      </c>
      <c r="K374" s="188">
        <f>IFERROR(_xlfn.XLOOKUP(A374,[1]Fleet!A:A,[1]Fleet!E:E,""),"")</f>
        <v>6</v>
      </c>
      <c r="L374" s="188" t="s">
        <v>76</v>
      </c>
      <c r="M374" s="188" t="s">
        <v>76</v>
      </c>
      <c r="N374" s="188" t="s">
        <v>1351</v>
      </c>
      <c r="O374">
        <v>389</v>
      </c>
      <c r="P374">
        <f>_xlfn.XLOOKUP(A374,'[1]Classic Net to delete'!D:D,'[1]Classic Net to delete'!AA:AA,0)</f>
        <v>0</v>
      </c>
    </row>
    <row r="375" spans="1:16" x14ac:dyDescent="0.25">
      <c r="A375" t="s">
        <v>1378</v>
      </c>
      <c r="B375" t="s">
        <v>1379</v>
      </c>
      <c r="C375">
        <v>0</v>
      </c>
      <c r="D375" t="s">
        <v>813</v>
      </c>
      <c r="E375" t="str">
        <f>CONCATENATE(J375,". ",N375)</f>
        <v>. Circular and Mitre Saws</v>
      </c>
      <c r="F375">
        <v>75</v>
      </c>
      <c r="G375" t="b">
        <v>0</v>
      </c>
      <c r="H375">
        <v>524</v>
      </c>
      <c r="K375" s="188" t="str">
        <f>IFERROR(_xlfn.XLOOKUP(A375,[1]Fleet!A:A,[1]Fleet!E:E,""),"")</f>
        <v/>
      </c>
      <c r="L375" s="188">
        <v>93.45</v>
      </c>
      <c r="M375" s="188" t="s">
        <v>1380</v>
      </c>
      <c r="N375" s="188" t="s">
        <v>1351</v>
      </c>
      <c r="O375">
        <v>386</v>
      </c>
      <c r="P375">
        <f>_xlfn.XLOOKUP(A375,'[1]Classic Net to delete'!D:D,'[1]Classic Net to delete'!AA:AA,0)</f>
        <v>524</v>
      </c>
    </row>
    <row r="376" spans="1:16" x14ac:dyDescent="0.25">
      <c r="A376" t="s">
        <v>858</v>
      </c>
      <c r="B376" t="s">
        <v>859</v>
      </c>
      <c r="C376">
        <v>44.14</v>
      </c>
      <c r="D376" t="s">
        <v>813</v>
      </c>
      <c r="E376" t="str">
        <f>CONCATENATE(J376,". ",N376)</f>
        <v>. Cutting</v>
      </c>
      <c r="F376">
        <v>75</v>
      </c>
      <c r="G376" t="b">
        <v>0</v>
      </c>
      <c r="H376">
        <v>0</v>
      </c>
      <c r="K376" s="188">
        <f>IFERROR(_xlfn.XLOOKUP(A376,[1]Fleet!A:A,[1]Fleet!E:E,""),"")</f>
        <v>1</v>
      </c>
      <c r="L376" s="188" t="s">
        <v>76</v>
      </c>
      <c r="M376" s="188" t="s">
        <v>76</v>
      </c>
      <c r="N376" s="188" t="s">
        <v>860</v>
      </c>
      <c r="O376">
        <v>434</v>
      </c>
      <c r="P376">
        <f>_xlfn.XLOOKUP(A376,'[1]Classic Net to delete'!D:D,'[1]Classic Net to delete'!AA:AA,0)</f>
        <v>0</v>
      </c>
    </row>
    <row r="377" spans="1:16" x14ac:dyDescent="0.25">
      <c r="A377" t="s">
        <v>871</v>
      </c>
      <c r="B377" t="s">
        <v>872</v>
      </c>
      <c r="C377">
        <v>76.52</v>
      </c>
      <c r="D377" t="s">
        <v>813</v>
      </c>
      <c r="E377" t="str">
        <f>CONCATENATE(J377,". ",N377)</f>
        <v>. Cutting</v>
      </c>
      <c r="F377">
        <v>75</v>
      </c>
      <c r="G377" t="b">
        <v>0</v>
      </c>
      <c r="H377">
        <v>0</v>
      </c>
      <c r="K377" s="188">
        <f>IFERROR(_xlfn.XLOOKUP(A377,[1]Fleet!A:A,[1]Fleet!E:E,""),"")</f>
        <v>2</v>
      </c>
      <c r="L377" s="188" t="s">
        <v>76</v>
      </c>
      <c r="M377" s="188" t="s">
        <v>76</v>
      </c>
      <c r="N377" s="188" t="s">
        <v>860</v>
      </c>
      <c r="O377">
        <v>422</v>
      </c>
      <c r="P377">
        <f>_xlfn.XLOOKUP(A377,'[1]Classic Net to delete'!D:D,'[1]Classic Net to delete'!AA:AA,0)</f>
        <v>0</v>
      </c>
    </row>
    <row r="378" spans="1:16" x14ac:dyDescent="0.25">
      <c r="A378" t="s">
        <v>873</v>
      </c>
      <c r="B378" t="s">
        <v>874</v>
      </c>
      <c r="C378">
        <v>85.600000000000009</v>
      </c>
      <c r="D378" t="s">
        <v>813</v>
      </c>
      <c r="E378" t="str">
        <f>CONCATENATE(J378,". ",N378)</f>
        <v>. Cutting</v>
      </c>
      <c r="F378">
        <v>75</v>
      </c>
      <c r="G378" t="b">
        <v>0</v>
      </c>
      <c r="H378">
        <v>0</v>
      </c>
      <c r="K378" s="188">
        <f>IFERROR(_xlfn.XLOOKUP(A378,[1]Fleet!A:A,[1]Fleet!E:E,""),"")</f>
        <v>0</v>
      </c>
      <c r="L378" s="188" t="s">
        <v>76</v>
      </c>
      <c r="M378" s="188" t="s">
        <v>76</v>
      </c>
      <c r="N378" s="188" t="s">
        <v>860</v>
      </c>
      <c r="O378">
        <v>431</v>
      </c>
      <c r="P378">
        <f>_xlfn.XLOOKUP(A378,'[1]Classic Net to delete'!D:D,'[1]Classic Net to delete'!AA:AA,0)</f>
        <v>0</v>
      </c>
    </row>
    <row r="379" spans="1:16" x14ac:dyDescent="0.25">
      <c r="A379" t="s">
        <v>880</v>
      </c>
      <c r="B379" t="s">
        <v>881</v>
      </c>
      <c r="C379">
        <v>85.600000000000009</v>
      </c>
      <c r="D379" t="s">
        <v>813</v>
      </c>
      <c r="E379" t="str">
        <f>CONCATENATE(J379,". ",N379)</f>
        <v>. Cutting</v>
      </c>
      <c r="F379">
        <v>75</v>
      </c>
      <c r="G379" t="b">
        <v>0</v>
      </c>
      <c r="H379">
        <v>0</v>
      </c>
      <c r="K379" s="188" t="str">
        <f>IFERROR(_xlfn.XLOOKUP(A379,[1]Fleet!A:A,[1]Fleet!E:E,""),"")</f>
        <v/>
      </c>
      <c r="L379" s="188" t="s">
        <v>76</v>
      </c>
      <c r="M379" s="188" t="s">
        <v>76</v>
      </c>
      <c r="N379" s="188" t="s">
        <v>860</v>
      </c>
      <c r="O379">
        <v>428</v>
      </c>
      <c r="P379">
        <f>_xlfn.XLOOKUP(A379,'[1]Classic Net to delete'!D:D,'[1]Classic Net to delete'!AA:AA,0)</f>
        <v>0</v>
      </c>
    </row>
    <row r="380" spans="1:16" x14ac:dyDescent="0.25">
      <c r="A380" t="s">
        <v>884</v>
      </c>
      <c r="B380" t="s">
        <v>885</v>
      </c>
      <c r="C380">
        <v>27.82</v>
      </c>
      <c r="D380" t="s">
        <v>813</v>
      </c>
      <c r="E380" t="str">
        <f>CONCATENATE(J380,". ",N380)</f>
        <v>. Cutting</v>
      </c>
      <c r="F380">
        <v>75</v>
      </c>
      <c r="G380" t="b">
        <v>0</v>
      </c>
      <c r="H380">
        <v>0</v>
      </c>
      <c r="K380" s="188">
        <f>IFERROR(_xlfn.XLOOKUP(A380,[1]Fleet!A:A,[1]Fleet!E:E,""),"")</f>
        <v>1</v>
      </c>
      <c r="L380" s="188" t="s">
        <v>76</v>
      </c>
      <c r="M380" s="188" t="s">
        <v>76</v>
      </c>
      <c r="N380" s="188" t="s">
        <v>860</v>
      </c>
      <c r="O380">
        <v>432</v>
      </c>
      <c r="P380">
        <f>_xlfn.XLOOKUP(A380,'[1]Classic Net to delete'!D:D,'[1]Classic Net to delete'!AA:AA,0)</f>
        <v>0</v>
      </c>
    </row>
    <row r="381" spans="1:16" x14ac:dyDescent="0.25">
      <c r="A381" t="s">
        <v>905</v>
      </c>
      <c r="B381" t="s">
        <v>906</v>
      </c>
      <c r="C381">
        <v>205.07</v>
      </c>
      <c r="D381" t="s">
        <v>813</v>
      </c>
      <c r="E381" t="str">
        <f>CONCATENATE(J381,". ",N381)</f>
        <v>. Cutting</v>
      </c>
      <c r="F381">
        <v>75</v>
      </c>
      <c r="G381" t="b">
        <v>0</v>
      </c>
      <c r="H381">
        <v>0</v>
      </c>
      <c r="K381" s="188">
        <f>IFERROR(_xlfn.XLOOKUP(A381,[1]Fleet!A:A,[1]Fleet!E:E,""),"")</f>
        <v>6</v>
      </c>
      <c r="L381" s="188" t="s">
        <v>76</v>
      </c>
      <c r="M381" s="188" t="s">
        <v>76</v>
      </c>
      <c r="N381" s="188" t="s">
        <v>860</v>
      </c>
      <c r="O381">
        <v>421</v>
      </c>
      <c r="P381">
        <f>_xlfn.XLOOKUP(A381,'[1]Classic Net to delete'!D:D,'[1]Classic Net to delete'!AA:AA,0)</f>
        <v>0</v>
      </c>
    </row>
    <row r="382" spans="1:16" x14ac:dyDescent="0.25">
      <c r="A382" t="s">
        <v>907</v>
      </c>
      <c r="B382" t="s">
        <v>908</v>
      </c>
      <c r="C382">
        <v>218.92000000000002</v>
      </c>
      <c r="D382" t="s">
        <v>813</v>
      </c>
      <c r="E382" t="str">
        <f>CONCATENATE(J382,". ",N382)</f>
        <v>. Cutting</v>
      </c>
      <c r="F382">
        <v>75</v>
      </c>
      <c r="G382" t="b">
        <v>0</v>
      </c>
      <c r="H382">
        <v>0</v>
      </c>
      <c r="K382" s="188">
        <f>IFERROR(_xlfn.XLOOKUP(A382,[1]Fleet!A:A,[1]Fleet!E:E,""),"")</f>
        <v>1</v>
      </c>
      <c r="L382" s="188" t="s">
        <v>76</v>
      </c>
      <c r="M382" s="188" t="s">
        <v>76</v>
      </c>
      <c r="N382" s="188" t="s">
        <v>860</v>
      </c>
      <c r="O382">
        <v>433</v>
      </c>
      <c r="P382">
        <f>_xlfn.XLOOKUP(A382,'[1]Classic Net to delete'!D:D,'[1]Classic Net to delete'!AA:AA,0)</f>
        <v>0</v>
      </c>
    </row>
    <row r="383" spans="1:16" x14ac:dyDescent="0.25">
      <c r="A383" t="s">
        <v>928</v>
      </c>
      <c r="B383" t="s">
        <v>929</v>
      </c>
      <c r="C383">
        <v>111.24000000000001</v>
      </c>
      <c r="D383" t="s">
        <v>813</v>
      </c>
      <c r="E383" t="str">
        <f>CONCATENATE(J383,". ",N383)</f>
        <v>. Cutting</v>
      </c>
      <c r="F383">
        <v>75</v>
      </c>
      <c r="G383" t="b">
        <v>0</v>
      </c>
      <c r="H383">
        <v>0</v>
      </c>
      <c r="K383" s="188">
        <f>IFERROR(_xlfn.XLOOKUP(A383,[1]Fleet!A:A,[1]Fleet!E:E,""),"")</f>
        <v>5</v>
      </c>
      <c r="L383" s="188" t="s">
        <v>76</v>
      </c>
      <c r="M383" s="188" t="s">
        <v>76</v>
      </c>
      <c r="N383" s="188" t="s">
        <v>860</v>
      </c>
      <c r="O383">
        <v>429</v>
      </c>
      <c r="P383">
        <f>_xlfn.XLOOKUP(A383,'[1]Classic Net to delete'!D:D,'[1]Classic Net to delete'!AA:AA,0)</f>
        <v>0</v>
      </c>
    </row>
    <row r="384" spans="1:16" x14ac:dyDescent="0.25">
      <c r="A384" t="s">
        <v>951</v>
      </c>
      <c r="B384" t="s">
        <v>948</v>
      </c>
      <c r="C384">
        <v>174.95000000000002</v>
      </c>
      <c r="D384" t="s">
        <v>813</v>
      </c>
      <c r="E384" t="str">
        <f>CONCATENATE(J384,". ",N384)</f>
        <v>. Cutting</v>
      </c>
      <c r="F384">
        <v>75</v>
      </c>
      <c r="G384" t="b">
        <v>0</v>
      </c>
      <c r="H384">
        <v>0</v>
      </c>
      <c r="K384" s="188">
        <f>IFERROR(_xlfn.XLOOKUP(A384,[1]Fleet!A:A,[1]Fleet!E:E,""),"")</f>
        <v>3</v>
      </c>
      <c r="L384" s="188" t="s">
        <v>76</v>
      </c>
      <c r="M384" s="188" t="s">
        <v>76</v>
      </c>
      <c r="N384" s="188" t="s">
        <v>860</v>
      </c>
      <c r="O384">
        <v>427</v>
      </c>
      <c r="P384">
        <f>_xlfn.XLOOKUP(A384,'[1]Classic Net to delete'!D:D,'[1]Classic Net to delete'!AA:AA,0)</f>
        <v>0</v>
      </c>
    </row>
    <row r="385" spans="1:16" x14ac:dyDescent="0.25">
      <c r="A385" t="s">
        <v>1368</v>
      </c>
      <c r="B385" t="s">
        <v>1369</v>
      </c>
      <c r="C385">
        <v>55.11</v>
      </c>
      <c r="D385" t="s">
        <v>813</v>
      </c>
      <c r="E385" t="str">
        <f>CONCATENATE(J385,". ",N385)</f>
        <v>. Cutting</v>
      </c>
      <c r="F385">
        <v>75</v>
      </c>
      <c r="G385" t="b">
        <v>0</v>
      </c>
      <c r="H385">
        <v>0</v>
      </c>
      <c r="K385" s="188">
        <f>IFERROR(_xlfn.XLOOKUP(A385,[1]Fleet!A:A,[1]Fleet!E:E,""),"")</f>
        <v>3</v>
      </c>
      <c r="L385" s="188" t="s">
        <v>76</v>
      </c>
      <c r="M385" s="188" t="s">
        <v>76</v>
      </c>
      <c r="N385" s="188" t="s">
        <v>860</v>
      </c>
      <c r="O385">
        <v>430</v>
      </c>
      <c r="P385">
        <f>_xlfn.XLOOKUP(A385,'[1]Classic Net to delete'!D:D,'[1]Classic Net to delete'!AA:AA,0)</f>
        <v>0</v>
      </c>
    </row>
    <row r="386" spans="1:16" x14ac:dyDescent="0.25">
      <c r="A386" t="s">
        <v>854</v>
      </c>
      <c r="B386" t="s">
        <v>855</v>
      </c>
      <c r="C386">
        <v>16.420000000000002</v>
      </c>
      <c r="D386" t="s">
        <v>813</v>
      </c>
      <c r="E386" t="str">
        <f>CONCATENATE(J386,". ",N386)</f>
        <v>. General</v>
      </c>
      <c r="F386">
        <v>75</v>
      </c>
      <c r="G386" t="b">
        <v>0</v>
      </c>
      <c r="H386">
        <v>0</v>
      </c>
      <c r="K386" s="188">
        <f>IFERROR(_xlfn.XLOOKUP(A386,[1]Fleet!A:A,[1]Fleet!E:E,""),"")</f>
        <v>2</v>
      </c>
      <c r="L386" s="188" t="s">
        <v>76</v>
      </c>
      <c r="M386" s="188" t="s">
        <v>76</v>
      </c>
      <c r="N386" s="188" t="s">
        <v>618</v>
      </c>
      <c r="O386">
        <v>280</v>
      </c>
      <c r="P386">
        <f>_xlfn.XLOOKUP(A386,'[1]Classic Net to delete'!D:D,'[1]Classic Net to delete'!AA:AA,0)</f>
        <v>0</v>
      </c>
    </row>
    <row r="387" spans="1:16" x14ac:dyDescent="0.25">
      <c r="A387" t="s">
        <v>819</v>
      </c>
      <c r="B387" t="s">
        <v>820</v>
      </c>
      <c r="C387">
        <v>44.14</v>
      </c>
      <c r="D387" t="s">
        <v>813</v>
      </c>
      <c r="E387" t="str">
        <f>CONCATENATE(J387,". ",N387)</f>
        <v>. Grinding</v>
      </c>
      <c r="F387">
        <v>75</v>
      </c>
      <c r="G387" t="b">
        <v>0</v>
      </c>
      <c r="H387">
        <v>0</v>
      </c>
      <c r="K387" s="188">
        <f>IFERROR(_xlfn.XLOOKUP(A387,[1]Fleet!A:A,[1]Fleet!E:E,""),"")</f>
        <v>11</v>
      </c>
      <c r="L387" s="188" t="s">
        <v>76</v>
      </c>
      <c r="M387" s="188" t="s">
        <v>76</v>
      </c>
      <c r="N387" s="188" t="s">
        <v>814</v>
      </c>
      <c r="O387">
        <v>440</v>
      </c>
      <c r="P387">
        <f>_xlfn.XLOOKUP(A387,'[1]Classic Net to delete'!D:D,'[1]Classic Net to delete'!AA:AA,0)</f>
        <v>0</v>
      </c>
    </row>
    <row r="388" spans="1:16" x14ac:dyDescent="0.25">
      <c r="A388" t="s">
        <v>833</v>
      </c>
      <c r="B388" t="s">
        <v>834</v>
      </c>
      <c r="C388">
        <v>40.36</v>
      </c>
      <c r="D388" t="s">
        <v>813</v>
      </c>
      <c r="E388" t="str">
        <f>CONCATENATE(J388,". ",N388)</f>
        <v>. Grinding</v>
      </c>
      <c r="F388">
        <v>75</v>
      </c>
      <c r="G388" t="b">
        <v>0</v>
      </c>
      <c r="H388">
        <v>0</v>
      </c>
      <c r="K388" s="188">
        <f>IFERROR(_xlfn.XLOOKUP(A388,[1]Fleet!A:A,[1]Fleet!E:E,""),"")</f>
        <v>4</v>
      </c>
      <c r="L388" s="188" t="s">
        <v>76</v>
      </c>
      <c r="M388" s="188" t="s">
        <v>76</v>
      </c>
      <c r="N388" s="188" t="s">
        <v>814</v>
      </c>
      <c r="O388">
        <v>442</v>
      </c>
      <c r="P388">
        <f>_xlfn.XLOOKUP(A388,'[1]Classic Net to delete'!D:D,'[1]Classic Net to delete'!AA:AA,0)</f>
        <v>0</v>
      </c>
    </row>
    <row r="389" spans="1:16" x14ac:dyDescent="0.25">
      <c r="A389" t="s">
        <v>1419</v>
      </c>
      <c r="B389" t="s">
        <v>1420</v>
      </c>
      <c r="C389">
        <v>96.460000000000008</v>
      </c>
      <c r="D389" t="s">
        <v>813</v>
      </c>
      <c r="E389" t="str">
        <f>CONCATENATE(J389,". ",N389)</f>
        <v>. Material Cutting</v>
      </c>
      <c r="F389">
        <v>75</v>
      </c>
      <c r="G389" t="b">
        <v>0</v>
      </c>
      <c r="H389">
        <v>0</v>
      </c>
      <c r="K389" s="188">
        <f>IFERROR(_xlfn.XLOOKUP(A389,[1]Fleet!A:A,[1]Fleet!E:E,""),"")</f>
        <v>3</v>
      </c>
      <c r="L389" s="188" t="s">
        <v>76</v>
      </c>
      <c r="M389" s="188" t="s">
        <v>76</v>
      </c>
      <c r="N389" s="188" t="s">
        <v>1421</v>
      </c>
      <c r="O389">
        <v>458</v>
      </c>
      <c r="P389">
        <f>_xlfn.XLOOKUP(A389,'[1]Classic Net to delete'!D:D,'[1]Classic Net to delete'!AA:AA,0)</f>
        <v>0</v>
      </c>
    </row>
    <row r="390" spans="1:16" x14ac:dyDescent="0.25">
      <c r="A390" t="s">
        <v>1463</v>
      </c>
      <c r="B390" t="s">
        <v>1464</v>
      </c>
      <c r="C390">
        <v>56.34</v>
      </c>
      <c r="D390" t="s">
        <v>813</v>
      </c>
      <c r="E390" t="str">
        <f>CONCATENATE(J390,". ",N390)</f>
        <v>. Material Cutting</v>
      </c>
      <c r="F390">
        <v>75</v>
      </c>
      <c r="G390" t="b">
        <v>0</v>
      </c>
      <c r="H390">
        <v>0</v>
      </c>
      <c r="K390" s="188">
        <f>IFERROR(_xlfn.XLOOKUP(A390,[1]Fleet!A:A,[1]Fleet!E:E,""),"")</f>
        <v>6</v>
      </c>
      <c r="L390" s="188" t="s">
        <v>76</v>
      </c>
      <c r="M390" s="188" t="s">
        <v>76</v>
      </c>
      <c r="N390" s="188" t="s">
        <v>1421</v>
      </c>
      <c r="O390">
        <v>457</v>
      </c>
      <c r="P390">
        <f>_xlfn.XLOOKUP(A390,'[1]Classic Net to delete'!D:D,'[1]Classic Net to delete'!AA:AA,0)</f>
        <v>0</v>
      </c>
    </row>
    <row r="391" spans="1:16" x14ac:dyDescent="0.25">
      <c r="A391" t="s">
        <v>817</v>
      </c>
      <c r="B391" t="s">
        <v>818</v>
      </c>
      <c r="C391">
        <v>36.590000000000003</v>
      </c>
      <c r="D391" t="s">
        <v>813</v>
      </c>
      <c r="E391" t="str">
        <f>CONCATENATE(J391,". ",N391)</f>
        <v>01. Grinding</v>
      </c>
      <c r="F391">
        <v>75</v>
      </c>
      <c r="G391" t="b">
        <v>1</v>
      </c>
      <c r="H391">
        <v>456</v>
      </c>
      <c r="J391" s="193" t="s">
        <v>20</v>
      </c>
      <c r="K391" s="188">
        <f>IFERROR(_xlfn.XLOOKUP(A391,[1]Fleet!A:A,[1]Fleet!E:E,""),"")</f>
        <v>4</v>
      </c>
      <c r="L391" s="188">
        <v>34.200000000000003</v>
      </c>
      <c r="M391" s="188" t="s">
        <v>818</v>
      </c>
      <c r="N391" s="188" t="s">
        <v>814</v>
      </c>
      <c r="O391">
        <v>441</v>
      </c>
      <c r="P391">
        <f>_xlfn.XLOOKUP(A391,'[1]Classic Net to delete'!D:D,'[1]Classic Net to delete'!AA:AA,0)</f>
        <v>456</v>
      </c>
    </row>
    <row r="392" spans="1:16" x14ac:dyDescent="0.25">
      <c r="A392" t="s">
        <v>821</v>
      </c>
      <c r="B392" t="s">
        <v>822</v>
      </c>
      <c r="C392">
        <v>17.07</v>
      </c>
      <c r="D392" t="s">
        <v>813</v>
      </c>
      <c r="E392" t="str">
        <f>CONCATENATE(J392,". ",N392)</f>
        <v>01. Grinding</v>
      </c>
      <c r="F392">
        <v>75</v>
      </c>
      <c r="G392" t="b">
        <v>1</v>
      </c>
      <c r="H392">
        <v>457</v>
      </c>
      <c r="J392" s="193" t="s">
        <v>20</v>
      </c>
      <c r="K392" s="188">
        <f>IFERROR(_xlfn.XLOOKUP(A392,[1]Fleet!A:A,[1]Fleet!E:E,""),"")</f>
        <v>29</v>
      </c>
      <c r="L392" s="188">
        <v>15.950000000000001</v>
      </c>
      <c r="M392" s="188" t="s">
        <v>822</v>
      </c>
      <c r="N392" s="188" t="s">
        <v>814</v>
      </c>
      <c r="O392">
        <v>436</v>
      </c>
      <c r="P392">
        <f>_xlfn.XLOOKUP(A392,'[1]Classic Net to delete'!D:D,'[1]Classic Net to delete'!AA:AA,0)</f>
        <v>457</v>
      </c>
    </row>
    <row r="393" spans="1:16" x14ac:dyDescent="0.25">
      <c r="A393" t="s">
        <v>825</v>
      </c>
      <c r="B393" t="s">
        <v>826</v>
      </c>
      <c r="C393">
        <v>22.3</v>
      </c>
      <c r="D393" t="s">
        <v>813</v>
      </c>
      <c r="E393" t="str">
        <f>CONCATENATE(J393,". ",N393)</f>
        <v>01. Grinding</v>
      </c>
      <c r="F393">
        <v>75</v>
      </c>
      <c r="G393" t="b">
        <v>1</v>
      </c>
      <c r="H393">
        <v>458</v>
      </c>
      <c r="J393" s="193" t="s">
        <v>20</v>
      </c>
      <c r="K393" s="188">
        <f>IFERROR(_xlfn.XLOOKUP(A393,[1]Fleet!A:A,[1]Fleet!E:E,""),"")</f>
        <v>28</v>
      </c>
      <c r="L393" s="188">
        <v>18.900000000000002</v>
      </c>
      <c r="M393" s="188" t="s">
        <v>827</v>
      </c>
      <c r="N393" s="188" t="s">
        <v>814</v>
      </c>
      <c r="O393">
        <v>437</v>
      </c>
      <c r="P393">
        <f>_xlfn.XLOOKUP(A393,'[1]Classic Net to delete'!D:D,'[1]Classic Net to delete'!AA:AA,0)</f>
        <v>458</v>
      </c>
    </row>
    <row r="394" spans="1:16" x14ac:dyDescent="0.25">
      <c r="A394" t="s">
        <v>835</v>
      </c>
      <c r="B394" t="s">
        <v>836</v>
      </c>
      <c r="C394">
        <v>18.11</v>
      </c>
      <c r="D394" t="s">
        <v>813</v>
      </c>
      <c r="E394" t="str">
        <f>CONCATENATE(J394,". ",N394)</f>
        <v>01. Grinding</v>
      </c>
      <c r="F394">
        <v>75</v>
      </c>
      <c r="G394" t="b">
        <v>1</v>
      </c>
      <c r="H394">
        <v>459</v>
      </c>
      <c r="J394" s="192" t="s">
        <v>20</v>
      </c>
      <c r="K394" s="188">
        <f>IFERROR(_xlfn.XLOOKUP(A394,[1]Fleet!A:A,[1]Fleet!E:E,""),"")</f>
        <v>8</v>
      </c>
      <c r="L394" s="188">
        <v>15.350000000000001</v>
      </c>
      <c r="M394" s="188" t="s">
        <v>837</v>
      </c>
      <c r="N394" s="188" t="s">
        <v>814</v>
      </c>
      <c r="O394">
        <v>368</v>
      </c>
      <c r="P394">
        <f>_xlfn.XLOOKUP(A394,'[1]Classic Net to delete'!D:D,'[1]Classic Net to delete'!AA:AA,0)</f>
        <v>459</v>
      </c>
    </row>
    <row r="395" spans="1:16" x14ac:dyDescent="0.25">
      <c r="A395" t="s">
        <v>815</v>
      </c>
      <c r="B395" t="s">
        <v>816</v>
      </c>
      <c r="C395">
        <v>59.22</v>
      </c>
      <c r="D395" t="s">
        <v>813</v>
      </c>
      <c r="E395" t="str">
        <f>CONCATENATE(J395,". ",N395)</f>
        <v>01. Grinding</v>
      </c>
      <c r="F395">
        <v>75</v>
      </c>
      <c r="G395" t="b">
        <v>1</v>
      </c>
      <c r="H395">
        <v>460</v>
      </c>
      <c r="J395" s="193" t="s">
        <v>20</v>
      </c>
      <c r="K395" s="188">
        <f>IFERROR(_xlfn.XLOOKUP(A395,[1]Fleet!A:A,[1]Fleet!E:E,""),"")</f>
        <v>9</v>
      </c>
      <c r="L395" s="188" t="s">
        <v>76</v>
      </c>
      <c r="M395" s="188" t="s">
        <v>76</v>
      </c>
      <c r="N395" s="188" t="s">
        <v>814</v>
      </c>
      <c r="O395">
        <v>435</v>
      </c>
      <c r="P395">
        <f>_xlfn.XLOOKUP(A395,'[1]Classic Net to delete'!D:D,'[1]Classic Net to delete'!AA:AA,0)</f>
        <v>0</v>
      </c>
    </row>
    <row r="396" spans="1:16" x14ac:dyDescent="0.25">
      <c r="A396" t="s">
        <v>811</v>
      </c>
      <c r="B396" t="s">
        <v>812</v>
      </c>
      <c r="C396">
        <v>59.22</v>
      </c>
      <c r="D396" t="s">
        <v>813</v>
      </c>
      <c r="E396" t="str">
        <f>CONCATENATE(J396,". ",N396)</f>
        <v>01. Grinding</v>
      </c>
      <c r="F396">
        <v>75</v>
      </c>
      <c r="G396" t="b">
        <v>1</v>
      </c>
      <c r="H396">
        <v>460.1</v>
      </c>
      <c r="J396" s="193" t="s">
        <v>20</v>
      </c>
      <c r="K396" s="188">
        <f>IFERROR(_xlfn.XLOOKUP(A396,[1]Fleet!A:A,[1]Fleet!E:E,""),"")</f>
        <v>34</v>
      </c>
      <c r="L396" s="188">
        <v>55.35</v>
      </c>
      <c r="M396" s="188" t="s">
        <v>812</v>
      </c>
      <c r="N396" s="188" t="s">
        <v>814</v>
      </c>
      <c r="O396">
        <v>444</v>
      </c>
      <c r="P396">
        <f>_xlfn.XLOOKUP(A396,'[1]Classic Net to delete'!D:D,'[1]Classic Net to delete'!AA:AA,0)</f>
        <v>460</v>
      </c>
    </row>
    <row r="397" spans="1:16" x14ac:dyDescent="0.25">
      <c r="A397" t="s">
        <v>828</v>
      </c>
      <c r="B397" t="s">
        <v>829</v>
      </c>
      <c r="C397">
        <v>20.81</v>
      </c>
      <c r="D397" t="s">
        <v>813</v>
      </c>
      <c r="E397" t="str">
        <f>CONCATENATE(J397,". ",N397)</f>
        <v>01. Grinding</v>
      </c>
      <c r="F397">
        <v>75</v>
      </c>
      <c r="G397" t="b">
        <v>1</v>
      </c>
      <c r="H397">
        <v>461</v>
      </c>
      <c r="J397" s="193" t="s">
        <v>20</v>
      </c>
      <c r="K397" s="188">
        <f>IFERROR(_xlfn.XLOOKUP(A397,[1]Fleet!A:A,[1]Fleet!E:E,""),"")</f>
        <v>38</v>
      </c>
      <c r="L397" s="188">
        <v>19.450000000000003</v>
      </c>
      <c r="M397" s="188" t="s">
        <v>829</v>
      </c>
      <c r="N397" s="188" t="s">
        <v>814</v>
      </c>
      <c r="O397">
        <v>438</v>
      </c>
      <c r="P397">
        <f>_xlfn.XLOOKUP(A397,'[1]Classic Net to delete'!D:D,'[1]Classic Net to delete'!AA:AA,0)</f>
        <v>461</v>
      </c>
    </row>
    <row r="398" spans="1:16" x14ac:dyDescent="0.25">
      <c r="A398" t="s">
        <v>830</v>
      </c>
      <c r="B398" t="s">
        <v>831</v>
      </c>
      <c r="C398">
        <v>26.14</v>
      </c>
      <c r="D398" t="s">
        <v>813</v>
      </c>
      <c r="E398" t="str">
        <f>CONCATENATE(J398,". ",N398)</f>
        <v>01. Grinding</v>
      </c>
      <c r="F398">
        <v>75</v>
      </c>
      <c r="G398" t="b">
        <v>1</v>
      </c>
      <c r="H398">
        <v>462</v>
      </c>
      <c r="J398" s="193" t="s">
        <v>20</v>
      </c>
      <c r="K398" s="188">
        <f>IFERROR(_xlfn.XLOOKUP(A398,[1]Fleet!A:A,[1]Fleet!E:E,""),"")</f>
        <v>1</v>
      </c>
      <c r="L398" s="188">
        <v>22.150000000000002</v>
      </c>
      <c r="M398" s="188" t="s">
        <v>832</v>
      </c>
      <c r="N398" s="188" t="s">
        <v>814</v>
      </c>
      <c r="O398">
        <v>439</v>
      </c>
      <c r="P398">
        <f>_xlfn.XLOOKUP(A398,'[1]Classic Net to delete'!D:D,'[1]Classic Net to delete'!AA:AA,0)</f>
        <v>462</v>
      </c>
    </row>
    <row r="399" spans="1:16" x14ac:dyDescent="0.25">
      <c r="A399" t="s">
        <v>841</v>
      </c>
      <c r="B399" t="s">
        <v>842</v>
      </c>
      <c r="C399">
        <v>18.11</v>
      </c>
      <c r="D399" t="s">
        <v>813</v>
      </c>
      <c r="E399" t="str">
        <f>CONCATENATE(J399,". ",N399)</f>
        <v>01. Grinding</v>
      </c>
      <c r="F399">
        <v>75</v>
      </c>
      <c r="G399" t="b">
        <v>1</v>
      </c>
      <c r="H399">
        <v>463</v>
      </c>
      <c r="J399" s="193" t="s">
        <v>20</v>
      </c>
      <c r="K399" s="188">
        <f>IFERROR(_xlfn.XLOOKUP(A399,[1]Fleet!A:A,[1]Fleet!E:E,""),"")</f>
        <v>8</v>
      </c>
      <c r="L399" s="188">
        <v>15.350000000000001</v>
      </c>
      <c r="M399" s="188" t="s">
        <v>843</v>
      </c>
      <c r="N399" s="188" t="s">
        <v>814</v>
      </c>
      <c r="O399">
        <v>369</v>
      </c>
      <c r="P399">
        <f>_xlfn.XLOOKUP(A399,'[1]Classic Net to delete'!D:D,'[1]Classic Net to delete'!AA:AA,0)</f>
        <v>463</v>
      </c>
    </row>
    <row r="400" spans="1:16" x14ac:dyDescent="0.25">
      <c r="A400" t="s">
        <v>823</v>
      </c>
      <c r="B400" t="s">
        <v>824</v>
      </c>
      <c r="C400">
        <v>71.16</v>
      </c>
      <c r="D400" t="s">
        <v>813</v>
      </c>
      <c r="E400" t="str">
        <f>CONCATENATE(J400,". ",N400)</f>
        <v>01. Grinding</v>
      </c>
      <c r="F400">
        <v>75</v>
      </c>
      <c r="G400" t="b">
        <v>1</v>
      </c>
      <c r="H400">
        <v>464</v>
      </c>
      <c r="J400" s="193" t="s">
        <v>20</v>
      </c>
      <c r="K400" s="188">
        <f>IFERROR(_xlfn.XLOOKUP(A400,[1]Fleet!A:A,[1]Fleet!E:E,""),"")</f>
        <v>9</v>
      </c>
      <c r="L400" s="188">
        <v>66.5</v>
      </c>
      <c r="M400" s="188" t="s">
        <v>824</v>
      </c>
      <c r="N400" s="188" t="s">
        <v>814</v>
      </c>
      <c r="O400">
        <v>443</v>
      </c>
      <c r="P400">
        <f>_xlfn.XLOOKUP(A400,'[1]Classic Net to delete'!D:D,'[1]Classic Net to delete'!AA:AA,0)</f>
        <v>464</v>
      </c>
    </row>
    <row r="401" spans="1:16" x14ac:dyDescent="0.25">
      <c r="A401" t="s">
        <v>868</v>
      </c>
      <c r="B401" t="s">
        <v>869</v>
      </c>
      <c r="C401">
        <v>50.83</v>
      </c>
      <c r="D401" t="s">
        <v>813</v>
      </c>
      <c r="E401" t="str">
        <f>CONCATENATE(J401,". ",N401)</f>
        <v>02. Masonry Cutting</v>
      </c>
      <c r="F401">
        <v>75</v>
      </c>
      <c r="G401" t="b">
        <v>1</v>
      </c>
      <c r="H401">
        <v>468</v>
      </c>
      <c r="J401" s="193" t="s">
        <v>189</v>
      </c>
      <c r="K401" s="188">
        <f>IFERROR(_xlfn.XLOOKUP(A401,[1]Fleet!A:A,[1]Fleet!E:E,""),"")</f>
        <v>301</v>
      </c>
      <c r="L401" s="188">
        <v>47.5</v>
      </c>
      <c r="M401" s="188" t="s">
        <v>870</v>
      </c>
      <c r="N401" s="188" t="s">
        <v>849</v>
      </c>
      <c r="O401">
        <v>397</v>
      </c>
      <c r="P401">
        <f>_xlfn.XLOOKUP(A401,'[1]Classic Net to delete'!D:D,'[1]Classic Net to delete'!AA:AA,0)</f>
        <v>468</v>
      </c>
    </row>
    <row r="402" spans="1:16" x14ac:dyDescent="0.25">
      <c r="A402" t="s">
        <v>877</v>
      </c>
      <c r="B402" t="s">
        <v>878</v>
      </c>
      <c r="C402">
        <v>27.12</v>
      </c>
      <c r="D402" t="s">
        <v>813</v>
      </c>
      <c r="E402" t="str">
        <f>CONCATENATE(J402,". ",N402)</f>
        <v>02. Masonry Cutting</v>
      </c>
      <c r="F402">
        <v>75</v>
      </c>
      <c r="G402" t="b">
        <v>1</v>
      </c>
      <c r="H402">
        <v>470</v>
      </c>
      <c r="J402" s="193" t="s">
        <v>189</v>
      </c>
      <c r="K402" s="188">
        <f>IFERROR(_xlfn.XLOOKUP(A402,[1]Fleet!A:A,[1]Fleet!E:E,""),"")</f>
        <v>2</v>
      </c>
      <c r="L402" s="188">
        <v>25.35</v>
      </c>
      <c r="M402" s="188" t="s">
        <v>879</v>
      </c>
      <c r="N402" s="188" t="s">
        <v>849</v>
      </c>
      <c r="O402">
        <v>398</v>
      </c>
      <c r="P402">
        <f>_xlfn.XLOOKUP(A402,'[1]Classic Net to delete'!D:D,'[1]Classic Net to delete'!AA:AA,0)</f>
        <v>470</v>
      </c>
    </row>
    <row r="403" spans="1:16" x14ac:dyDescent="0.25">
      <c r="A403" t="s">
        <v>898</v>
      </c>
      <c r="B403" t="s">
        <v>899</v>
      </c>
      <c r="C403">
        <v>69.66</v>
      </c>
      <c r="D403" t="s">
        <v>813</v>
      </c>
      <c r="E403" t="str">
        <f>CONCATENATE(J403,". ",N403)</f>
        <v>02. Masonry Cutting</v>
      </c>
      <c r="F403">
        <v>75</v>
      </c>
      <c r="G403" t="b">
        <v>1</v>
      </c>
      <c r="H403">
        <v>471</v>
      </c>
      <c r="J403" s="193" t="s">
        <v>189</v>
      </c>
      <c r="K403" s="188">
        <f>IFERROR(_xlfn.XLOOKUP(A403,[1]Fleet!A:A,[1]Fleet!E:E,""),"")</f>
        <v>26</v>
      </c>
      <c r="L403" s="188">
        <v>65.100000000000009</v>
      </c>
      <c r="M403" s="188" t="s">
        <v>899</v>
      </c>
      <c r="N403" s="188" t="s">
        <v>849</v>
      </c>
      <c r="O403">
        <v>414</v>
      </c>
      <c r="P403">
        <f>_xlfn.XLOOKUP(A403,'[1]Classic Net to delete'!D:D,'[1]Classic Net to delete'!AA:AA,0)</f>
        <v>471</v>
      </c>
    </row>
    <row r="404" spans="1:16" x14ac:dyDescent="0.25">
      <c r="A404" t="s">
        <v>875</v>
      </c>
      <c r="B404" t="s">
        <v>876</v>
      </c>
      <c r="C404">
        <v>124.98</v>
      </c>
      <c r="D404" t="s">
        <v>813</v>
      </c>
      <c r="E404" t="str">
        <f>CONCATENATE(J404,". ",N404)</f>
        <v>02. Masonry Cutting</v>
      </c>
      <c r="F404">
        <v>75</v>
      </c>
      <c r="G404" t="b">
        <v>1</v>
      </c>
      <c r="H404">
        <v>472</v>
      </c>
      <c r="J404" s="193" t="s">
        <v>189</v>
      </c>
      <c r="K404" s="188">
        <f>IFERROR(_xlfn.XLOOKUP(A404,[1]Fleet!A:A,[1]Fleet!E:E,""),"")</f>
        <v>9</v>
      </c>
      <c r="L404" s="188">
        <v>116.80000000000001</v>
      </c>
      <c r="M404" s="188" t="s">
        <v>876</v>
      </c>
      <c r="N404" s="188" t="s">
        <v>849</v>
      </c>
      <c r="O404">
        <v>418</v>
      </c>
      <c r="P404">
        <f>_xlfn.XLOOKUP(A404,'[1]Classic Net to delete'!D:D,'[1]Classic Net to delete'!AA:AA,0)</f>
        <v>472</v>
      </c>
    </row>
    <row r="405" spans="1:16" x14ac:dyDescent="0.25">
      <c r="A405" t="s">
        <v>939</v>
      </c>
      <c r="B405" t="s">
        <v>940</v>
      </c>
      <c r="C405">
        <v>90.09</v>
      </c>
      <c r="D405" t="s">
        <v>813</v>
      </c>
      <c r="E405" t="str">
        <f>CONCATENATE(J405,". ",N405)</f>
        <v>02. Masonry Cutting</v>
      </c>
      <c r="F405">
        <v>75</v>
      </c>
      <c r="G405" t="b">
        <v>1</v>
      </c>
      <c r="H405">
        <v>473</v>
      </c>
      <c r="J405" s="193" t="s">
        <v>189</v>
      </c>
      <c r="K405" s="188">
        <f>IFERROR(_xlfn.XLOOKUP(A405,[1]Fleet!A:A,[1]Fleet!E:E,""),"")</f>
        <v>10</v>
      </c>
      <c r="L405" s="188">
        <v>76.350000000000009</v>
      </c>
      <c r="M405" s="188" t="s">
        <v>941</v>
      </c>
      <c r="N405" s="188" t="s">
        <v>849</v>
      </c>
      <c r="O405">
        <v>410</v>
      </c>
      <c r="P405">
        <f>_xlfn.XLOOKUP(A405,'[1]Classic Net to delete'!D:D,'[1]Classic Net to delete'!AA:AA,0)</f>
        <v>473</v>
      </c>
    </row>
    <row r="406" spans="1:16" x14ac:dyDescent="0.25">
      <c r="A406" t="s">
        <v>944</v>
      </c>
      <c r="B406" t="s">
        <v>945</v>
      </c>
      <c r="C406">
        <v>152.05000000000001</v>
      </c>
      <c r="D406" t="s">
        <v>813</v>
      </c>
      <c r="E406" t="str">
        <f>CONCATENATE(J406,". ",N406)</f>
        <v>02. Masonry Cutting</v>
      </c>
      <c r="F406">
        <v>75</v>
      </c>
      <c r="G406" t="b">
        <v>1</v>
      </c>
      <c r="H406">
        <v>474</v>
      </c>
      <c r="J406" s="193" t="s">
        <v>189</v>
      </c>
      <c r="K406" s="188">
        <f>IFERROR(_xlfn.XLOOKUP(A406,[1]Fleet!A:A,[1]Fleet!E:E,""),"")</f>
        <v>8</v>
      </c>
      <c r="L406" s="188">
        <v>142.1</v>
      </c>
      <c r="M406" s="188" t="s">
        <v>945</v>
      </c>
      <c r="N406" s="188" t="s">
        <v>849</v>
      </c>
      <c r="O406">
        <v>420</v>
      </c>
      <c r="P406">
        <f>_xlfn.XLOOKUP(A406,'[1]Classic Net to delete'!D:D,'[1]Classic Net to delete'!AA:AA,0)</f>
        <v>474</v>
      </c>
    </row>
    <row r="407" spans="1:16" x14ac:dyDescent="0.25">
      <c r="A407" t="s">
        <v>942</v>
      </c>
      <c r="B407" t="s">
        <v>943</v>
      </c>
      <c r="C407">
        <v>135.74</v>
      </c>
      <c r="D407" t="s">
        <v>813</v>
      </c>
      <c r="E407" t="str">
        <f>CONCATENATE(J407,". ",N407)</f>
        <v>02. Masonry Cutting</v>
      </c>
      <c r="F407">
        <v>75</v>
      </c>
      <c r="G407" t="b">
        <v>1</v>
      </c>
      <c r="H407">
        <v>475</v>
      </c>
      <c r="J407" s="193" t="s">
        <v>189</v>
      </c>
      <c r="K407" s="188">
        <f>IFERROR(_xlfn.XLOOKUP(A407,[1]Fleet!A:A,[1]Fleet!E:E,""),"")</f>
        <v>26</v>
      </c>
      <c r="L407" s="188">
        <v>121.2</v>
      </c>
      <c r="M407" s="188" t="s">
        <v>943</v>
      </c>
      <c r="N407" s="188" t="s">
        <v>849</v>
      </c>
      <c r="O407">
        <v>417</v>
      </c>
      <c r="P407">
        <f>_xlfn.XLOOKUP(A407,'[1]Classic Net to delete'!D:D,'[1]Classic Net to delete'!AA:AA,0)</f>
        <v>475</v>
      </c>
    </row>
    <row r="408" spans="1:16" x14ac:dyDescent="0.25">
      <c r="A408" t="s">
        <v>909</v>
      </c>
      <c r="B408" t="s">
        <v>910</v>
      </c>
      <c r="C408">
        <v>144.08000000000001</v>
      </c>
      <c r="D408" t="s">
        <v>813</v>
      </c>
      <c r="E408" t="str">
        <f>CONCATENATE(J408,". ",N408)</f>
        <v>02. Masonry Cutting</v>
      </c>
      <c r="F408">
        <v>75</v>
      </c>
      <c r="G408" t="b">
        <v>1</v>
      </c>
      <c r="H408">
        <v>476</v>
      </c>
      <c r="J408" s="193" t="s">
        <v>189</v>
      </c>
      <c r="K408" s="188">
        <f>IFERROR(_xlfn.XLOOKUP(A408,[1]Fleet!A:A,[1]Fleet!E:E,""),"")</f>
        <v>19</v>
      </c>
      <c r="L408" s="188">
        <v>122.10000000000001</v>
      </c>
      <c r="M408" s="188" t="s">
        <v>911</v>
      </c>
      <c r="N408" s="188" t="s">
        <v>849</v>
      </c>
      <c r="O408">
        <v>405</v>
      </c>
      <c r="P408">
        <f>_xlfn.XLOOKUP(A408,'[1]Classic Net to delete'!D:D,'[1]Classic Net to delete'!AA:AA,0)</f>
        <v>476</v>
      </c>
    </row>
    <row r="409" spans="1:16" x14ac:dyDescent="0.25">
      <c r="A409" t="s">
        <v>888</v>
      </c>
      <c r="B409" t="s">
        <v>889</v>
      </c>
      <c r="C409">
        <v>114.86</v>
      </c>
      <c r="D409" t="s">
        <v>813</v>
      </c>
      <c r="E409" t="str">
        <f>CONCATENATE(J409,". ",N409)</f>
        <v>02. Masonry Cutting</v>
      </c>
      <c r="F409">
        <v>75</v>
      </c>
      <c r="G409" t="b">
        <v>1</v>
      </c>
      <c r="H409">
        <v>477</v>
      </c>
      <c r="J409" s="193" t="s">
        <v>189</v>
      </c>
      <c r="K409" s="188">
        <f>IFERROR(_xlfn.XLOOKUP(A409,[1]Fleet!A:A,[1]Fleet!E:E,""),"")</f>
        <v>25</v>
      </c>
      <c r="L409" s="188">
        <v>107.35000000000001</v>
      </c>
      <c r="M409" s="188" t="s">
        <v>889</v>
      </c>
      <c r="N409" s="188" t="s">
        <v>849</v>
      </c>
      <c r="O409">
        <v>401</v>
      </c>
      <c r="P409">
        <f>_xlfn.XLOOKUP(A409,'[1]Classic Net to delete'!D:D,'[1]Classic Net to delete'!AA:AA,0)</f>
        <v>477</v>
      </c>
    </row>
    <row r="410" spans="1:16" x14ac:dyDescent="0.25">
      <c r="A410" t="s">
        <v>882</v>
      </c>
      <c r="B410" t="s">
        <v>883</v>
      </c>
      <c r="C410">
        <v>167.22</v>
      </c>
      <c r="D410" t="s">
        <v>813</v>
      </c>
      <c r="E410" t="str">
        <f>CONCATENATE(J410,". ",N410)</f>
        <v>02. Masonry Cutting</v>
      </c>
      <c r="F410">
        <v>75</v>
      </c>
      <c r="G410" t="b">
        <v>1</v>
      </c>
      <c r="H410">
        <v>478</v>
      </c>
      <c r="J410" s="193" t="s">
        <v>189</v>
      </c>
      <c r="K410" s="188">
        <f>IFERROR(_xlfn.XLOOKUP(A410,[1]Fleet!A:A,[1]Fleet!E:E,""),"")</f>
        <v>37</v>
      </c>
      <c r="L410" s="188">
        <v>149.30000000000001</v>
      </c>
      <c r="M410" s="188" t="s">
        <v>883</v>
      </c>
      <c r="N410" s="188" t="s">
        <v>849</v>
      </c>
      <c r="O410">
        <v>399</v>
      </c>
      <c r="P410">
        <f>_xlfn.XLOOKUP(A410,'[1]Classic Net to delete'!D:D,'[1]Classic Net to delete'!AA:AA,0)</f>
        <v>478</v>
      </c>
    </row>
    <row r="411" spans="1:16" x14ac:dyDescent="0.25">
      <c r="A411" t="s">
        <v>886</v>
      </c>
      <c r="B411" t="s">
        <v>887</v>
      </c>
      <c r="C411">
        <v>145.66</v>
      </c>
      <c r="D411" t="s">
        <v>813</v>
      </c>
      <c r="E411" t="str">
        <f>CONCATENATE(J411,". ",N411)</f>
        <v>02. Masonry Cutting</v>
      </c>
      <c r="F411">
        <v>75</v>
      </c>
      <c r="G411" t="b">
        <v>1</v>
      </c>
      <c r="H411">
        <v>479</v>
      </c>
      <c r="J411" s="193" t="s">
        <v>189</v>
      </c>
      <c r="K411" s="188">
        <f>IFERROR(_xlfn.XLOOKUP(A411,[1]Fleet!A:A,[1]Fleet!E:E,""),"")</f>
        <v>8</v>
      </c>
      <c r="L411" s="188">
        <v>130.05000000000001</v>
      </c>
      <c r="M411" s="188" t="s">
        <v>887</v>
      </c>
      <c r="N411" s="188" t="s">
        <v>849</v>
      </c>
      <c r="O411">
        <v>400</v>
      </c>
      <c r="P411">
        <f>_xlfn.XLOOKUP(A411,'[1]Classic Net to delete'!D:D,'[1]Classic Net to delete'!AA:AA,0)</f>
        <v>479</v>
      </c>
    </row>
    <row r="412" spans="1:16" x14ac:dyDescent="0.25">
      <c r="A412" t="s">
        <v>902</v>
      </c>
      <c r="B412" t="s">
        <v>903</v>
      </c>
      <c r="C412">
        <v>188.96</v>
      </c>
      <c r="D412" t="s">
        <v>813</v>
      </c>
      <c r="E412" t="str">
        <f>CONCATENATE(J412,". ",N412)</f>
        <v>02. Masonry Cutting</v>
      </c>
      <c r="F412">
        <v>75</v>
      </c>
      <c r="G412" t="b">
        <v>1</v>
      </c>
      <c r="H412">
        <v>480</v>
      </c>
      <c r="J412" s="193" t="s">
        <v>189</v>
      </c>
      <c r="K412" s="188">
        <f>IFERROR(_xlfn.XLOOKUP(A412,[1]Fleet!A:A,[1]Fleet!E:E,""),"")</f>
        <v>6</v>
      </c>
      <c r="L412" s="188">
        <v>176.60000000000002</v>
      </c>
      <c r="M412" s="188" t="s">
        <v>904</v>
      </c>
      <c r="N412" s="188" t="s">
        <v>849</v>
      </c>
      <c r="O412">
        <v>416</v>
      </c>
      <c r="P412">
        <f>_xlfn.XLOOKUP(A412,'[1]Classic Net to delete'!D:D,'[1]Classic Net to delete'!AA:AA,0)</f>
        <v>480</v>
      </c>
    </row>
    <row r="413" spans="1:16" x14ac:dyDescent="0.25">
      <c r="A413" t="s">
        <v>856</v>
      </c>
      <c r="B413" t="s">
        <v>857</v>
      </c>
      <c r="C413">
        <v>72.23</v>
      </c>
      <c r="D413" t="s">
        <v>813</v>
      </c>
      <c r="E413" t="str">
        <f>CONCATENATE(J413,". ",N413)</f>
        <v>02. Masonry Cutting</v>
      </c>
      <c r="F413">
        <v>75</v>
      </c>
      <c r="G413" t="b">
        <v>1</v>
      </c>
      <c r="H413">
        <v>482</v>
      </c>
      <c r="J413" s="193" t="s">
        <v>189</v>
      </c>
      <c r="K413" s="188">
        <f>IFERROR(_xlfn.XLOOKUP(A413,[1]Fleet!A:A,[1]Fleet!E:E,""),"")</f>
        <v>33</v>
      </c>
      <c r="L413" s="188">
        <v>67.5</v>
      </c>
      <c r="M413" s="188" t="s">
        <v>857</v>
      </c>
      <c r="N413" s="188" t="s">
        <v>849</v>
      </c>
      <c r="O413">
        <v>395</v>
      </c>
      <c r="P413">
        <f>_xlfn.XLOOKUP(A413,'[1]Classic Net to delete'!D:D,'[1]Classic Net to delete'!AA:AA,0)</f>
        <v>482</v>
      </c>
    </row>
    <row r="414" spans="1:16" x14ac:dyDescent="0.25">
      <c r="A414" t="s">
        <v>846</v>
      </c>
      <c r="B414" t="s">
        <v>847</v>
      </c>
      <c r="C414">
        <v>58.1</v>
      </c>
      <c r="D414" t="s">
        <v>813</v>
      </c>
      <c r="E414" t="str">
        <f>CONCATENATE(J414,". ",N414)</f>
        <v>02. Masonry Cutting</v>
      </c>
      <c r="F414">
        <v>75</v>
      </c>
      <c r="G414" t="b">
        <v>1</v>
      </c>
      <c r="H414">
        <v>483</v>
      </c>
      <c r="J414" s="193" t="s">
        <v>189</v>
      </c>
      <c r="K414" s="188">
        <f>IFERROR(_xlfn.XLOOKUP(A414,[1]Fleet!A:A,[1]Fleet!E:E,""),"")</f>
        <v>8</v>
      </c>
      <c r="L414" s="188">
        <v>54.300000000000004</v>
      </c>
      <c r="M414" s="188" t="s">
        <v>848</v>
      </c>
      <c r="N414" s="188" t="s">
        <v>849</v>
      </c>
      <c r="O414">
        <v>394</v>
      </c>
      <c r="P414">
        <f>_xlfn.XLOOKUP(A414,'[1]Classic Net to delete'!D:D,'[1]Classic Net to delete'!AA:AA,0)</f>
        <v>483</v>
      </c>
    </row>
    <row r="415" spans="1:16" x14ac:dyDescent="0.25">
      <c r="A415" t="s">
        <v>2171</v>
      </c>
      <c r="B415" t="s">
        <v>2172</v>
      </c>
      <c r="C415">
        <v>10.17</v>
      </c>
      <c r="D415" t="s">
        <v>813</v>
      </c>
      <c r="E415" t="str">
        <f>CONCATENATE(J415,". ",N415)</f>
        <v>02. Masonry Cutting</v>
      </c>
      <c r="F415">
        <v>75</v>
      </c>
      <c r="G415" t="b">
        <v>1</v>
      </c>
      <c r="H415">
        <v>484</v>
      </c>
      <c r="J415" s="193" t="s">
        <v>189</v>
      </c>
      <c r="K415" s="188" t="str">
        <f>IFERROR(_xlfn.XLOOKUP(A415,[1]Fleet!A:A,[1]Fleet!E:E,""),"")</f>
        <v/>
      </c>
      <c r="L415" s="188">
        <v>9.5</v>
      </c>
      <c r="M415" s="188" t="s">
        <v>2172</v>
      </c>
      <c r="N415" s="188" t="s">
        <v>849</v>
      </c>
      <c r="O415">
        <v>347</v>
      </c>
      <c r="P415">
        <f>_xlfn.XLOOKUP(A415,'[1]Classic Net to delete'!D:D,'[1]Classic Net to delete'!AA:AA,0)</f>
        <v>484</v>
      </c>
    </row>
    <row r="416" spans="1:16" x14ac:dyDescent="0.25">
      <c r="A416" t="s">
        <v>926</v>
      </c>
      <c r="B416" t="s">
        <v>927</v>
      </c>
      <c r="C416">
        <v>28.36</v>
      </c>
      <c r="D416" t="s">
        <v>813</v>
      </c>
      <c r="E416" t="str">
        <f>CONCATENATE(J416,". ",N416)</f>
        <v>03. Tile Cutting</v>
      </c>
      <c r="F416">
        <v>75</v>
      </c>
      <c r="G416" t="b">
        <v>1</v>
      </c>
      <c r="H416">
        <v>487</v>
      </c>
      <c r="J416" s="193" t="s">
        <v>188</v>
      </c>
      <c r="K416" s="188">
        <f>IFERROR(_xlfn.XLOOKUP(A416,[1]Fleet!A:A,[1]Fleet!E:E,""),"")</f>
        <v>3</v>
      </c>
      <c r="L416" s="188">
        <v>26.5</v>
      </c>
      <c r="M416" s="188" t="s">
        <v>927</v>
      </c>
      <c r="N416" s="188" t="s">
        <v>892</v>
      </c>
      <c r="O416">
        <v>409</v>
      </c>
      <c r="P416">
        <f>_xlfn.XLOOKUP(A416,'[1]Classic Net to delete'!D:D,'[1]Classic Net to delete'!AA:AA,0)</f>
        <v>487</v>
      </c>
    </row>
    <row r="417" spans="1:16" x14ac:dyDescent="0.25">
      <c r="A417" t="s">
        <v>900</v>
      </c>
      <c r="B417" t="s">
        <v>901</v>
      </c>
      <c r="C417">
        <v>86.460000000000008</v>
      </c>
      <c r="D417" t="s">
        <v>813</v>
      </c>
      <c r="E417" t="str">
        <f>CONCATENATE(J417,". ",N417)</f>
        <v>03. Tile Cutting</v>
      </c>
      <c r="F417">
        <v>75</v>
      </c>
      <c r="G417" t="b">
        <v>1</v>
      </c>
      <c r="H417">
        <v>488</v>
      </c>
      <c r="J417" s="193" t="s">
        <v>188</v>
      </c>
      <c r="K417" s="188">
        <f>IFERROR(_xlfn.XLOOKUP(A417,[1]Fleet!A:A,[1]Fleet!E:E,""),"")</f>
        <v>3</v>
      </c>
      <c r="L417" s="188">
        <v>80.800000000000011</v>
      </c>
      <c r="M417" s="188" t="s">
        <v>901</v>
      </c>
      <c r="N417" s="188" t="s">
        <v>892</v>
      </c>
      <c r="O417">
        <v>404</v>
      </c>
      <c r="P417">
        <f>_xlfn.XLOOKUP(A417,'[1]Classic Net to delete'!D:D,'[1]Classic Net to delete'!AA:AA,0)</f>
        <v>488</v>
      </c>
    </row>
    <row r="418" spans="1:16" x14ac:dyDescent="0.25">
      <c r="A418" t="s">
        <v>890</v>
      </c>
      <c r="B418" t="s">
        <v>891</v>
      </c>
      <c r="C418">
        <v>114.86</v>
      </c>
      <c r="D418" t="s">
        <v>813</v>
      </c>
      <c r="E418" t="str">
        <f>CONCATENATE(J418,". ",N418)</f>
        <v>03. Tile Cutting</v>
      </c>
      <c r="F418">
        <v>75</v>
      </c>
      <c r="G418" t="b">
        <v>1</v>
      </c>
      <c r="H418">
        <v>489</v>
      </c>
      <c r="J418" s="193" t="s">
        <v>188</v>
      </c>
      <c r="K418" s="188">
        <f>IFERROR(_xlfn.XLOOKUP(A418,[1]Fleet!A:A,[1]Fleet!E:E,""),"")</f>
        <v>3</v>
      </c>
      <c r="L418" s="188">
        <v>107.35000000000001</v>
      </c>
      <c r="M418" s="188" t="s">
        <v>891</v>
      </c>
      <c r="N418" s="188" t="s">
        <v>892</v>
      </c>
      <c r="O418">
        <v>415</v>
      </c>
      <c r="P418">
        <f>_xlfn.XLOOKUP(A418,'[1]Classic Net to delete'!D:D,'[1]Classic Net to delete'!AA:AA,0)</f>
        <v>489</v>
      </c>
    </row>
    <row r="419" spans="1:16" x14ac:dyDescent="0.25">
      <c r="A419" t="s">
        <v>893</v>
      </c>
      <c r="B419" t="s">
        <v>894</v>
      </c>
      <c r="C419">
        <v>22.1</v>
      </c>
      <c r="D419" t="s">
        <v>813</v>
      </c>
      <c r="E419" t="str">
        <f>CONCATENATE(J419,". ",N419)</f>
        <v>03. Tile Cutting</v>
      </c>
      <c r="F419">
        <v>75</v>
      </c>
      <c r="G419" t="b">
        <v>1</v>
      </c>
      <c r="H419">
        <v>548</v>
      </c>
      <c r="J419" s="193" t="s">
        <v>188</v>
      </c>
      <c r="K419" s="188">
        <f>IFERROR(_xlfn.XLOOKUP(A419,[1]Fleet!A:A,[1]Fleet!E:E,""),"")</f>
        <v>1</v>
      </c>
      <c r="L419" s="188">
        <v>20.650000000000002</v>
      </c>
      <c r="M419" s="188" t="s">
        <v>894</v>
      </c>
      <c r="N419" s="188" t="s">
        <v>892</v>
      </c>
      <c r="O419">
        <v>402</v>
      </c>
      <c r="P419">
        <f>_xlfn.XLOOKUP(A419,'[1]Classic Net to delete'!D:D,'[1]Classic Net to delete'!AA:AA,0)</f>
        <v>548</v>
      </c>
    </row>
    <row r="420" spans="1:16" x14ac:dyDescent="0.25">
      <c r="A420" t="s">
        <v>861</v>
      </c>
      <c r="B420" t="s">
        <v>862</v>
      </c>
      <c r="C420">
        <v>65.38</v>
      </c>
      <c r="D420" t="s">
        <v>813</v>
      </c>
      <c r="E420" t="str">
        <f>CONCATENATE(J420,". ",N420)</f>
        <v>04. Metal Cutting</v>
      </c>
      <c r="F420">
        <v>75</v>
      </c>
      <c r="G420" t="b">
        <v>1</v>
      </c>
      <c r="H420">
        <v>503</v>
      </c>
      <c r="J420" s="193" t="s">
        <v>269</v>
      </c>
      <c r="K420" s="188">
        <f>IFERROR(_xlfn.XLOOKUP(A420,[1]Fleet!A:A,[1]Fleet!E:E,""),"")</f>
        <v>5</v>
      </c>
      <c r="L420" s="188">
        <v>61.1</v>
      </c>
      <c r="M420" s="188" t="s">
        <v>863</v>
      </c>
      <c r="N420" s="188" t="s">
        <v>864</v>
      </c>
      <c r="O420">
        <v>396</v>
      </c>
      <c r="P420">
        <f>_xlfn.XLOOKUP(A420,'[1]Classic Net to delete'!D:D,'[1]Classic Net to delete'!AA:AA,0)</f>
        <v>503</v>
      </c>
    </row>
    <row r="421" spans="1:16" x14ac:dyDescent="0.25">
      <c r="A421" t="s">
        <v>895</v>
      </c>
      <c r="B421" t="s">
        <v>896</v>
      </c>
      <c r="C421">
        <v>99.4</v>
      </c>
      <c r="D421" t="s">
        <v>813</v>
      </c>
      <c r="E421" t="str">
        <f>CONCATENATE(J421,". ",N421)</f>
        <v>04. Metal Cutting</v>
      </c>
      <c r="F421">
        <v>75</v>
      </c>
      <c r="G421" t="b">
        <v>1</v>
      </c>
      <c r="H421">
        <v>504</v>
      </c>
      <c r="J421" s="193" t="s">
        <v>269</v>
      </c>
      <c r="K421" s="188">
        <f>IFERROR(_xlfn.XLOOKUP(A421,[1]Fleet!A:A,[1]Fleet!E:E,""),"")</f>
        <v>27</v>
      </c>
      <c r="L421" s="188">
        <v>92.9</v>
      </c>
      <c r="M421" s="188" t="s">
        <v>897</v>
      </c>
      <c r="N421" s="188" t="s">
        <v>864</v>
      </c>
      <c r="O421">
        <v>403</v>
      </c>
      <c r="P421">
        <f>_xlfn.XLOOKUP(A421,'[1]Classic Net to delete'!D:D,'[1]Classic Net to delete'!AA:AA,0)</f>
        <v>504</v>
      </c>
    </row>
    <row r="422" spans="1:16" x14ac:dyDescent="0.25">
      <c r="A422" t="s">
        <v>933</v>
      </c>
      <c r="B422" t="s">
        <v>934</v>
      </c>
      <c r="C422">
        <v>62.49</v>
      </c>
      <c r="D422" t="s">
        <v>813</v>
      </c>
      <c r="E422" t="str">
        <f>CONCATENATE(J422,". ",N422)</f>
        <v>04. Metal Cutting</v>
      </c>
      <c r="F422">
        <v>75</v>
      </c>
      <c r="G422" t="b">
        <v>1</v>
      </c>
      <c r="H422">
        <v>505</v>
      </c>
      <c r="J422" s="193" t="s">
        <v>269</v>
      </c>
      <c r="K422" s="188">
        <f>IFERROR(_xlfn.XLOOKUP(A422,[1]Fleet!A:A,[1]Fleet!E:E,""),"")</f>
        <v>2</v>
      </c>
      <c r="L422" s="188">
        <v>58.400000000000006</v>
      </c>
      <c r="M422" s="188" t="s">
        <v>935</v>
      </c>
      <c r="N422" s="188" t="s">
        <v>864</v>
      </c>
      <c r="O422">
        <v>412</v>
      </c>
      <c r="P422">
        <f>_xlfn.XLOOKUP(A422,'[1]Classic Net to delete'!D:D,'[1]Classic Net to delete'!AA:AA,0)</f>
        <v>505</v>
      </c>
    </row>
    <row r="423" spans="1:16" x14ac:dyDescent="0.25">
      <c r="A423" t="s">
        <v>930</v>
      </c>
      <c r="B423" t="s">
        <v>931</v>
      </c>
      <c r="C423">
        <v>90.84</v>
      </c>
      <c r="D423" t="s">
        <v>813</v>
      </c>
      <c r="E423" t="str">
        <f>CONCATENATE(J423,". ",N423)</f>
        <v>04. Metal Cutting</v>
      </c>
      <c r="F423">
        <v>75</v>
      </c>
      <c r="G423" t="b">
        <v>1</v>
      </c>
      <c r="H423">
        <v>506</v>
      </c>
      <c r="J423" s="193" t="s">
        <v>269</v>
      </c>
      <c r="K423" s="188">
        <f>IFERROR(_xlfn.XLOOKUP(A423,[1]Fleet!A:A,[1]Fleet!E:E,""),"")</f>
        <v>5</v>
      </c>
      <c r="L423" s="188">
        <v>84.9</v>
      </c>
      <c r="M423" s="188" t="s">
        <v>932</v>
      </c>
      <c r="N423" s="188" t="s">
        <v>864</v>
      </c>
      <c r="O423">
        <v>411</v>
      </c>
      <c r="P423">
        <f>_xlfn.XLOOKUP(A423,'[1]Classic Net to delete'!D:D,'[1]Classic Net to delete'!AA:AA,0)</f>
        <v>506</v>
      </c>
    </row>
    <row r="424" spans="1:16" x14ac:dyDescent="0.25">
      <c r="A424" t="s">
        <v>914</v>
      </c>
      <c r="B424" t="s">
        <v>915</v>
      </c>
      <c r="C424">
        <v>59.33</v>
      </c>
      <c r="D424" t="s">
        <v>813</v>
      </c>
      <c r="E424" t="str">
        <f>CONCATENATE(J424,". ",N424)</f>
        <v>04. Metal Cutting</v>
      </c>
      <c r="F424">
        <v>75</v>
      </c>
      <c r="G424" t="b">
        <v>1</v>
      </c>
      <c r="H424">
        <v>508</v>
      </c>
      <c r="J424" s="193" t="s">
        <v>269</v>
      </c>
      <c r="K424" s="188">
        <f>IFERROR(_xlfn.XLOOKUP(A424,[1]Fleet!A:A,[1]Fleet!E:E,""),"")</f>
        <v>1</v>
      </c>
      <c r="L424" s="188">
        <v>55.45</v>
      </c>
      <c r="M424" s="188" t="s">
        <v>916</v>
      </c>
      <c r="N424" s="188" t="s">
        <v>864</v>
      </c>
      <c r="O424">
        <v>407</v>
      </c>
      <c r="P424">
        <f>_xlfn.XLOOKUP(A424,'[1]Classic Net to delete'!D:D,'[1]Classic Net to delete'!AA:AA,0)</f>
        <v>508</v>
      </c>
    </row>
    <row r="425" spans="1:16" x14ac:dyDescent="0.25">
      <c r="A425" t="s">
        <v>917</v>
      </c>
      <c r="B425" t="s">
        <v>918</v>
      </c>
      <c r="C425">
        <v>74.150000000000006</v>
      </c>
      <c r="D425" t="s">
        <v>813</v>
      </c>
      <c r="E425" t="str">
        <f>CONCATENATE(J425,". ",N425)</f>
        <v>04. Metal Cutting</v>
      </c>
      <c r="F425">
        <v>75</v>
      </c>
      <c r="G425" t="b">
        <v>1</v>
      </c>
      <c r="H425">
        <v>509</v>
      </c>
      <c r="J425" s="193" t="s">
        <v>269</v>
      </c>
      <c r="K425" s="188">
        <f>IFERROR(_xlfn.XLOOKUP(A425,[1]Fleet!A:A,[1]Fleet!E:E,""),"")</f>
        <v>1</v>
      </c>
      <c r="L425" s="188">
        <v>69.3</v>
      </c>
      <c r="M425" s="188" t="s">
        <v>919</v>
      </c>
      <c r="N425" s="188" t="s">
        <v>864</v>
      </c>
      <c r="O425">
        <v>413</v>
      </c>
      <c r="P425">
        <f>_xlfn.XLOOKUP(A425,'[1]Classic Net to delete'!D:D,'[1]Classic Net to delete'!AA:AA,0)</f>
        <v>509</v>
      </c>
    </row>
    <row r="426" spans="1:16" x14ac:dyDescent="0.25">
      <c r="A426" t="s">
        <v>920</v>
      </c>
      <c r="B426" t="s">
        <v>921</v>
      </c>
      <c r="C426">
        <v>58.1</v>
      </c>
      <c r="D426" t="s">
        <v>813</v>
      </c>
      <c r="E426" t="str">
        <f>CONCATENATE(J426,". ",N426)</f>
        <v>04. Metal Cutting</v>
      </c>
      <c r="F426">
        <v>75</v>
      </c>
      <c r="G426" t="b">
        <v>1</v>
      </c>
      <c r="H426">
        <v>510</v>
      </c>
      <c r="J426" s="193" t="s">
        <v>269</v>
      </c>
      <c r="K426" s="188">
        <f>IFERROR(_xlfn.XLOOKUP(A426,[1]Fleet!A:A,[1]Fleet!E:E,""),"")</f>
        <v>2</v>
      </c>
      <c r="L426" s="188">
        <v>54.300000000000004</v>
      </c>
      <c r="M426" s="188" t="s">
        <v>922</v>
      </c>
      <c r="N426" s="188" t="s">
        <v>864</v>
      </c>
      <c r="O426">
        <v>408</v>
      </c>
      <c r="P426">
        <f>_xlfn.XLOOKUP(A426,'[1]Classic Net to delete'!D:D,'[1]Classic Net to delete'!AA:AA,0)</f>
        <v>510</v>
      </c>
    </row>
    <row r="427" spans="1:16" x14ac:dyDescent="0.25">
      <c r="A427" t="s">
        <v>912</v>
      </c>
      <c r="B427" t="s">
        <v>913</v>
      </c>
      <c r="C427">
        <v>27.12</v>
      </c>
      <c r="D427" t="s">
        <v>813</v>
      </c>
      <c r="E427" t="str">
        <f>CONCATENATE(J427,". ",N427)</f>
        <v>04. Metal Cutting</v>
      </c>
      <c r="F427">
        <v>75</v>
      </c>
      <c r="G427" t="b">
        <v>1</v>
      </c>
      <c r="H427">
        <v>511</v>
      </c>
      <c r="J427" s="193" t="s">
        <v>269</v>
      </c>
      <c r="K427" s="188">
        <f>IFERROR(_xlfn.XLOOKUP(A427,[1]Fleet!A:A,[1]Fleet!E:E,""),"")</f>
        <v>1</v>
      </c>
      <c r="L427" s="188">
        <v>25.35</v>
      </c>
      <c r="M427" s="188" t="s">
        <v>913</v>
      </c>
      <c r="N427" s="188" t="s">
        <v>864</v>
      </c>
      <c r="O427">
        <v>406</v>
      </c>
      <c r="P427">
        <f>_xlfn.XLOOKUP(A427,'[1]Classic Net to delete'!D:D,'[1]Classic Net to delete'!AA:AA,0)</f>
        <v>511</v>
      </c>
    </row>
    <row r="428" spans="1:16" x14ac:dyDescent="0.25">
      <c r="A428" t="s">
        <v>1358</v>
      </c>
      <c r="B428" t="s">
        <v>1359</v>
      </c>
      <c r="C428">
        <v>90.84</v>
      </c>
      <c r="D428" t="s">
        <v>813</v>
      </c>
      <c r="E428" t="str">
        <f>CONCATENATE(J428,". ",N428)</f>
        <v>05. Wood Cutting</v>
      </c>
      <c r="F428">
        <v>75</v>
      </c>
      <c r="G428" t="b">
        <v>1</v>
      </c>
      <c r="H428">
        <v>10</v>
      </c>
      <c r="J428" s="193" t="s">
        <v>263</v>
      </c>
      <c r="K428" s="188">
        <f>IFERROR(_xlfn.XLOOKUP(A428,[1]Fleet!A:A,[1]Fleet!E:E,""),"")</f>
        <v>14</v>
      </c>
      <c r="L428" s="188">
        <v>84.9</v>
      </c>
      <c r="M428" s="188" t="s">
        <v>1360</v>
      </c>
      <c r="N428" s="188" t="s">
        <v>867</v>
      </c>
      <c r="O428">
        <v>383</v>
      </c>
      <c r="P428">
        <f>_xlfn.XLOOKUP(A428,'[1]Classic Net to delete'!D:D,'[1]Classic Net to delete'!AA:AA,0)</f>
        <v>520</v>
      </c>
    </row>
    <row r="429" spans="1:16" x14ac:dyDescent="0.25">
      <c r="A429" t="s">
        <v>1370</v>
      </c>
      <c r="B429" t="s">
        <v>1371</v>
      </c>
      <c r="C429">
        <v>0</v>
      </c>
      <c r="D429" t="s">
        <v>813</v>
      </c>
      <c r="E429" t="str">
        <f>CONCATENATE(J429,". ",N429)</f>
        <v>05. Wood Cutting</v>
      </c>
      <c r="F429">
        <v>75</v>
      </c>
      <c r="G429" t="b">
        <v>0</v>
      </c>
      <c r="H429">
        <v>11</v>
      </c>
      <c r="J429" s="193" t="s">
        <v>263</v>
      </c>
      <c r="K429" s="188">
        <f>IFERROR(_xlfn.XLOOKUP(A429,[1]Fleet!A:A,[1]Fleet!E:E,""),"")</f>
        <v>1</v>
      </c>
      <c r="L429" s="188">
        <v>91.350000000000009</v>
      </c>
      <c r="M429" s="188" t="s">
        <v>1372</v>
      </c>
      <c r="N429" s="188" t="s">
        <v>867</v>
      </c>
      <c r="O429">
        <v>384</v>
      </c>
      <c r="P429">
        <f>_xlfn.XLOOKUP(A429,'[1]Classic Net to delete'!D:D,'[1]Classic Net to delete'!AA:AA,0)</f>
        <v>521</v>
      </c>
    </row>
    <row r="430" spans="1:16" x14ac:dyDescent="0.25">
      <c r="A430" t="s">
        <v>1376</v>
      </c>
      <c r="B430" t="s">
        <v>1377</v>
      </c>
      <c r="C430">
        <v>90.84</v>
      </c>
      <c r="D430" t="s">
        <v>813</v>
      </c>
      <c r="E430" t="str">
        <f>CONCATENATE(J430,". ",N430)</f>
        <v>05. Wood Cutting</v>
      </c>
      <c r="F430">
        <v>75</v>
      </c>
      <c r="G430" t="b">
        <v>1</v>
      </c>
      <c r="H430">
        <v>12</v>
      </c>
      <c r="J430" s="193" t="s">
        <v>263</v>
      </c>
      <c r="K430" s="188">
        <f>IFERROR(_xlfn.XLOOKUP(A430,[1]Fleet!A:A,[1]Fleet!E:E,""),"")</f>
        <v>55</v>
      </c>
      <c r="L430" s="188" t="s">
        <v>76</v>
      </c>
      <c r="M430" s="188" t="s">
        <v>76</v>
      </c>
      <c r="N430" s="188" t="s">
        <v>867</v>
      </c>
      <c r="O430">
        <v>391</v>
      </c>
      <c r="P430">
        <f>_xlfn.XLOOKUP(A430,'[1]Classic Net to delete'!D:D,'[1]Classic Net to delete'!AA:AA,0)</f>
        <v>0</v>
      </c>
    </row>
    <row r="431" spans="1:16" x14ac:dyDescent="0.25">
      <c r="A431" t="s">
        <v>1373</v>
      </c>
      <c r="B431" t="s">
        <v>1374</v>
      </c>
      <c r="C431">
        <v>90.84</v>
      </c>
      <c r="D431" t="s">
        <v>813</v>
      </c>
      <c r="E431" t="str">
        <f>CONCATENATE(J431,". ",N431)</f>
        <v>05. Wood Cutting</v>
      </c>
      <c r="F431">
        <v>75</v>
      </c>
      <c r="G431" t="b">
        <v>1</v>
      </c>
      <c r="H431">
        <v>13</v>
      </c>
      <c r="J431" s="193" t="s">
        <v>263</v>
      </c>
      <c r="K431" s="188">
        <f>IFERROR(_xlfn.XLOOKUP(A431,[1]Fleet!A:A,[1]Fleet!E:E,""),"")</f>
        <v>5</v>
      </c>
      <c r="L431" s="188">
        <v>84.9</v>
      </c>
      <c r="M431" s="188" t="s">
        <v>1375</v>
      </c>
      <c r="N431" s="188" t="s">
        <v>867</v>
      </c>
      <c r="O431">
        <v>385</v>
      </c>
      <c r="P431">
        <f>_xlfn.XLOOKUP(A431,'[1]Classic Net to delete'!D:D,'[1]Classic Net to delete'!AA:AA,0)</f>
        <v>522</v>
      </c>
    </row>
    <row r="432" spans="1:16" x14ac:dyDescent="0.25">
      <c r="A432" t="s">
        <v>1453</v>
      </c>
      <c r="B432" t="s">
        <v>1454</v>
      </c>
      <c r="C432">
        <v>42.59</v>
      </c>
      <c r="D432" t="s">
        <v>813</v>
      </c>
      <c r="E432" t="str">
        <f>CONCATENATE(J432,". ",N432)</f>
        <v>05. Wood Cutting</v>
      </c>
      <c r="F432">
        <v>75</v>
      </c>
      <c r="G432" t="b">
        <v>1</v>
      </c>
      <c r="H432">
        <v>14</v>
      </c>
      <c r="J432" s="193" t="s">
        <v>263</v>
      </c>
      <c r="K432" s="188">
        <f>IFERROR(_xlfn.XLOOKUP(A432,[1]Fleet!A:A,[1]Fleet!E:E,""),"")</f>
        <v>28</v>
      </c>
      <c r="L432" s="188">
        <v>39.800000000000004</v>
      </c>
      <c r="M432" s="188" t="s">
        <v>1455</v>
      </c>
      <c r="N432" s="188" t="s">
        <v>867</v>
      </c>
      <c r="O432">
        <v>377</v>
      </c>
      <c r="P432">
        <f>_xlfn.XLOOKUP(A432,'[1]Classic Net to delete'!D:D,'[1]Classic Net to delete'!AA:AA,0)</f>
        <v>523</v>
      </c>
    </row>
    <row r="433" spans="1:16" x14ac:dyDescent="0.25">
      <c r="A433" t="s">
        <v>1467</v>
      </c>
      <c r="B433" t="s">
        <v>1468</v>
      </c>
      <c r="C433">
        <v>102.93</v>
      </c>
      <c r="D433" t="s">
        <v>813</v>
      </c>
      <c r="E433" t="str">
        <f>CONCATENATE(J433,". ",N433)</f>
        <v>05. Wood Cutting</v>
      </c>
      <c r="F433">
        <v>75</v>
      </c>
      <c r="G433" t="b">
        <v>1</v>
      </c>
      <c r="H433">
        <v>15</v>
      </c>
      <c r="J433" s="193" t="s">
        <v>263</v>
      </c>
      <c r="K433" s="188">
        <f>IFERROR(_xlfn.XLOOKUP(A433,[1]Fleet!A:A,[1]Fleet!E:E,""),"")</f>
        <v>4</v>
      </c>
      <c r="L433" s="188">
        <v>96.2</v>
      </c>
      <c r="M433" s="188" t="s">
        <v>1469</v>
      </c>
      <c r="N433" s="188" t="s">
        <v>867</v>
      </c>
      <c r="O433">
        <v>390</v>
      </c>
      <c r="P433">
        <f>_xlfn.XLOOKUP(A433,'[1]Classic Net to delete'!D:D,'[1]Classic Net to delete'!AA:AA,0)</f>
        <v>803</v>
      </c>
    </row>
    <row r="434" spans="1:16" x14ac:dyDescent="0.25">
      <c r="A434" t="s">
        <v>1343</v>
      </c>
      <c r="B434" t="s">
        <v>1344</v>
      </c>
      <c r="C434">
        <v>42.480000000000004</v>
      </c>
      <c r="D434" t="s">
        <v>813</v>
      </c>
      <c r="E434" t="str">
        <f>CONCATENATE(J434,". ",N434)</f>
        <v>05. Wood Cutting</v>
      </c>
      <c r="F434">
        <v>75</v>
      </c>
      <c r="G434" t="b">
        <v>1</v>
      </c>
      <c r="H434">
        <v>20</v>
      </c>
      <c r="J434" s="193" t="s">
        <v>263</v>
      </c>
      <c r="K434" s="188">
        <f>IFERROR(_xlfn.XLOOKUP(A434,[1]Fleet!A:A,[1]Fleet!E:E,""),"")</f>
        <v>2</v>
      </c>
      <c r="L434" s="188">
        <v>36</v>
      </c>
      <c r="M434" s="188" t="s">
        <v>1345</v>
      </c>
      <c r="N434" s="188" t="s">
        <v>867</v>
      </c>
      <c r="O434">
        <v>378</v>
      </c>
      <c r="P434">
        <f>_xlfn.XLOOKUP(A434,'[1]Classic Net to delete'!D:D,'[1]Classic Net to delete'!AA:AA,0)</f>
        <v>514</v>
      </c>
    </row>
    <row r="435" spans="1:16" x14ac:dyDescent="0.25">
      <c r="A435" t="s">
        <v>1346</v>
      </c>
      <c r="B435" t="s">
        <v>1347</v>
      </c>
      <c r="C435">
        <v>29.69</v>
      </c>
      <c r="D435" t="s">
        <v>813</v>
      </c>
      <c r="E435" t="str">
        <f>CONCATENATE(J435,". ",N435)</f>
        <v>05. Wood Cutting</v>
      </c>
      <c r="F435">
        <v>75</v>
      </c>
      <c r="G435" t="b">
        <v>1</v>
      </c>
      <c r="H435">
        <v>23</v>
      </c>
      <c r="J435" s="193" t="s">
        <v>263</v>
      </c>
      <c r="K435" s="188">
        <f>IFERROR(_xlfn.XLOOKUP(A435,[1]Fleet!A:A,[1]Fleet!E:E,""),"")</f>
        <v>8</v>
      </c>
      <c r="L435" s="188">
        <v>27.75</v>
      </c>
      <c r="M435" s="188" t="s">
        <v>1348</v>
      </c>
      <c r="N435" s="188" t="s">
        <v>867</v>
      </c>
      <c r="O435">
        <v>380</v>
      </c>
      <c r="P435">
        <f>_xlfn.XLOOKUP(A435,'[1]Classic Net to delete'!D:D,'[1]Classic Net to delete'!AA:AA,0)</f>
        <v>515</v>
      </c>
    </row>
    <row r="436" spans="1:16" x14ac:dyDescent="0.25">
      <c r="A436" t="s">
        <v>1352</v>
      </c>
      <c r="B436" t="s">
        <v>1353</v>
      </c>
      <c r="C436">
        <v>33.44</v>
      </c>
      <c r="D436" t="s">
        <v>813</v>
      </c>
      <c r="E436" t="str">
        <f>CONCATENATE(J436,". ",N436)</f>
        <v>05. Wood Cutting</v>
      </c>
      <c r="F436">
        <v>75</v>
      </c>
      <c r="G436" t="b">
        <v>1</v>
      </c>
      <c r="H436">
        <v>24</v>
      </c>
      <c r="J436" s="193" t="s">
        <v>263</v>
      </c>
      <c r="K436" s="188">
        <f>IFERROR(_xlfn.XLOOKUP(A436,[1]Fleet!A:A,[1]Fleet!E:E,""),"")</f>
        <v>46</v>
      </c>
      <c r="L436" s="188">
        <v>31.25</v>
      </c>
      <c r="M436" s="188" t="s">
        <v>1354</v>
      </c>
      <c r="N436" s="188" t="s">
        <v>867</v>
      </c>
      <c r="O436">
        <v>381</v>
      </c>
      <c r="P436">
        <f>_xlfn.XLOOKUP(A436,'[1]Classic Net to delete'!D:D,'[1]Classic Net to delete'!AA:AA,0)</f>
        <v>516</v>
      </c>
    </row>
    <row r="437" spans="1:16" x14ac:dyDescent="0.25">
      <c r="A437" t="s">
        <v>1355</v>
      </c>
      <c r="B437" t="s">
        <v>1356</v>
      </c>
      <c r="C437">
        <v>33.44</v>
      </c>
      <c r="D437" t="s">
        <v>813</v>
      </c>
      <c r="E437" t="str">
        <f>CONCATENATE(J437,". ",N437)</f>
        <v>05. Wood Cutting</v>
      </c>
      <c r="F437">
        <v>75</v>
      </c>
      <c r="G437" t="b">
        <v>1</v>
      </c>
      <c r="H437">
        <v>25</v>
      </c>
      <c r="J437" s="193" t="s">
        <v>263</v>
      </c>
      <c r="K437" s="188">
        <f>IFERROR(_xlfn.XLOOKUP(A437,[1]Fleet!A:A,[1]Fleet!E:E,""),"")</f>
        <v>5</v>
      </c>
      <c r="L437" s="188">
        <v>31.25</v>
      </c>
      <c r="M437" s="188" t="s">
        <v>1357</v>
      </c>
      <c r="N437" s="188" t="s">
        <v>867</v>
      </c>
      <c r="O437">
        <v>382</v>
      </c>
      <c r="P437">
        <f>_xlfn.XLOOKUP(A437,'[1]Classic Net to delete'!D:D,'[1]Classic Net to delete'!AA:AA,0)</f>
        <v>517</v>
      </c>
    </row>
    <row r="438" spans="1:16" x14ac:dyDescent="0.25">
      <c r="A438" t="s">
        <v>1363</v>
      </c>
      <c r="B438" t="s">
        <v>1364</v>
      </c>
      <c r="C438">
        <v>46.33</v>
      </c>
      <c r="D438" t="s">
        <v>813</v>
      </c>
      <c r="E438" t="str">
        <f>CONCATENATE(J438,". ",N438)</f>
        <v>05. Wood Cutting</v>
      </c>
      <c r="F438">
        <v>75</v>
      </c>
      <c r="G438" t="b">
        <v>1</v>
      </c>
      <c r="H438">
        <v>26</v>
      </c>
      <c r="J438" s="193" t="s">
        <v>263</v>
      </c>
      <c r="K438" s="188">
        <f>IFERROR(_xlfn.XLOOKUP(A438,[1]Fleet!A:A,[1]Fleet!E:E,""),"")</f>
        <v>9</v>
      </c>
      <c r="L438" s="188">
        <v>43.300000000000004</v>
      </c>
      <c r="M438" s="188" t="s">
        <v>1365</v>
      </c>
      <c r="N438" s="188" t="s">
        <v>867</v>
      </c>
      <c r="O438">
        <v>387</v>
      </c>
      <c r="P438">
        <f>_xlfn.XLOOKUP(A438,'[1]Classic Net to delete'!D:D,'[1]Classic Net to delete'!AA:AA,0)</f>
        <v>796</v>
      </c>
    </row>
    <row r="439" spans="1:16" x14ac:dyDescent="0.25">
      <c r="A439" t="s">
        <v>1437</v>
      </c>
      <c r="B439" t="s">
        <v>1438</v>
      </c>
      <c r="C439">
        <v>46.38</v>
      </c>
      <c r="D439" t="s">
        <v>813</v>
      </c>
      <c r="E439" t="str">
        <f>CONCATENATE(J439,". ",N439)</f>
        <v>05. Wood Cutting</v>
      </c>
      <c r="F439">
        <v>75</v>
      </c>
      <c r="G439" t="b">
        <v>1</v>
      </c>
      <c r="H439">
        <v>31</v>
      </c>
      <c r="J439" s="193" t="s">
        <v>263</v>
      </c>
      <c r="K439" s="188">
        <f>IFERROR(_xlfn.XLOOKUP(A439,[1]Fleet!A:A,[1]Fleet!E:E,""),"")</f>
        <v>18</v>
      </c>
      <c r="L439" s="188">
        <v>43.35</v>
      </c>
      <c r="M439" s="188" t="s">
        <v>1439</v>
      </c>
      <c r="N439" s="188" t="s">
        <v>867</v>
      </c>
      <c r="O439">
        <v>960</v>
      </c>
      <c r="P439">
        <f>_xlfn.XLOOKUP(A439,'[1]Classic Net to delete'!D:D,'[1]Classic Net to delete'!AA:AA,0)</f>
        <v>518</v>
      </c>
    </row>
    <row r="440" spans="1:16" x14ac:dyDescent="0.25">
      <c r="A440" t="s">
        <v>1440</v>
      </c>
      <c r="B440" t="s">
        <v>1441</v>
      </c>
      <c r="C440">
        <v>58.9</v>
      </c>
      <c r="D440" t="s">
        <v>813</v>
      </c>
      <c r="E440" t="str">
        <f>CONCATENATE(J440,". ",N440)</f>
        <v>05. Wood Cutting</v>
      </c>
      <c r="F440">
        <v>75</v>
      </c>
      <c r="G440" t="b">
        <v>1</v>
      </c>
      <c r="H440">
        <v>32</v>
      </c>
      <c r="J440" s="193" t="s">
        <v>263</v>
      </c>
      <c r="K440" s="188">
        <f>IFERROR(_xlfn.XLOOKUP(A440,[1]Fleet!A:A,[1]Fleet!E:E,""),"")</f>
        <v>14</v>
      </c>
      <c r="L440" s="188">
        <v>55.050000000000004</v>
      </c>
      <c r="M440" s="188" t="s">
        <v>1441</v>
      </c>
      <c r="N440" s="188" t="s">
        <v>867</v>
      </c>
      <c r="O440">
        <v>375</v>
      </c>
      <c r="P440">
        <f>_xlfn.XLOOKUP(A440,'[1]Classic Net to delete'!D:D,'[1]Classic Net to delete'!AA:AA,0)</f>
        <v>798</v>
      </c>
    </row>
    <row r="441" spans="1:16" x14ac:dyDescent="0.25">
      <c r="A441" t="s">
        <v>936</v>
      </c>
      <c r="B441" t="s">
        <v>937</v>
      </c>
      <c r="C441">
        <v>177.3</v>
      </c>
      <c r="D441" t="s">
        <v>813</v>
      </c>
      <c r="E441" t="str">
        <f>CONCATENATE(J441,". ",N441)</f>
        <v>05. Wood Cutting</v>
      </c>
      <c r="F441">
        <v>75</v>
      </c>
      <c r="G441" t="b">
        <v>1</v>
      </c>
      <c r="H441">
        <v>50</v>
      </c>
      <c r="J441" s="193" t="s">
        <v>263</v>
      </c>
      <c r="K441" s="188">
        <f>IFERROR(_xlfn.XLOOKUP(A441,[1]Fleet!A:A,[1]Fleet!E:E,""),"")</f>
        <v>17</v>
      </c>
      <c r="L441" s="188">
        <v>165.70000000000002</v>
      </c>
      <c r="M441" s="188" t="s">
        <v>938</v>
      </c>
      <c r="N441" s="188" t="s">
        <v>867</v>
      </c>
      <c r="O441">
        <v>424</v>
      </c>
      <c r="P441">
        <f>_xlfn.XLOOKUP(A441,'[1]Classic Net to delete'!D:D,'[1]Classic Net to delete'!AA:AA,0)</f>
        <v>498</v>
      </c>
    </row>
    <row r="442" spans="1:16" x14ac:dyDescent="0.25">
      <c r="A442" t="s">
        <v>865</v>
      </c>
      <c r="B442" t="s">
        <v>866</v>
      </c>
      <c r="C442">
        <v>71.42</v>
      </c>
      <c r="D442" t="s">
        <v>813</v>
      </c>
      <c r="E442" t="str">
        <f>CONCATENATE(J442,". ",N442)</f>
        <v>05. Wood Cutting</v>
      </c>
      <c r="F442">
        <v>75</v>
      </c>
      <c r="G442" t="b">
        <v>1</v>
      </c>
      <c r="H442">
        <v>51</v>
      </c>
      <c r="J442" s="193" t="s">
        <v>263</v>
      </c>
      <c r="K442" s="188">
        <f>IFERROR(_xlfn.XLOOKUP(A442,[1]Fleet!A:A,[1]Fleet!E:E,""),"")</f>
        <v>3</v>
      </c>
      <c r="L442" s="188">
        <v>66.75</v>
      </c>
      <c r="M442" s="188" t="s">
        <v>866</v>
      </c>
      <c r="N442" s="188" t="s">
        <v>867</v>
      </c>
      <c r="O442">
        <v>423</v>
      </c>
      <c r="P442">
        <f>_xlfn.XLOOKUP(A442,'[1]Classic Net to delete'!D:D,'[1]Classic Net to delete'!AA:AA,0)</f>
        <v>497</v>
      </c>
    </row>
    <row r="443" spans="1:16" x14ac:dyDescent="0.25">
      <c r="A443" t="s">
        <v>1422</v>
      </c>
      <c r="B443" t="s">
        <v>1423</v>
      </c>
      <c r="C443">
        <v>73.510000000000005</v>
      </c>
      <c r="D443" t="s">
        <v>813</v>
      </c>
      <c r="E443" t="str">
        <f>CONCATENATE(J443,". ",N443)</f>
        <v>05. Wood Cutting</v>
      </c>
      <c r="F443">
        <v>75</v>
      </c>
      <c r="G443" t="b">
        <v>1</v>
      </c>
      <c r="H443">
        <v>52</v>
      </c>
      <c r="J443" s="193" t="s">
        <v>263</v>
      </c>
      <c r="K443" s="188">
        <f>IFERROR(_xlfn.XLOOKUP(A443,[1]Fleet!A:A,[1]Fleet!E:E,""),"")</f>
        <v>6</v>
      </c>
      <c r="L443" s="188">
        <v>68.7</v>
      </c>
      <c r="M443" s="188" t="s">
        <v>1424</v>
      </c>
      <c r="N443" s="188" t="s">
        <v>867</v>
      </c>
      <c r="O443">
        <v>449</v>
      </c>
      <c r="P443">
        <f>_xlfn.XLOOKUP(A443,'[1]Classic Net to delete'!D:D,'[1]Classic Net to delete'!AA:AA,0)</f>
        <v>526</v>
      </c>
    </row>
    <row r="444" spans="1:16" x14ac:dyDescent="0.25">
      <c r="A444" t="s">
        <v>946</v>
      </c>
      <c r="B444" t="s">
        <v>947</v>
      </c>
      <c r="C444">
        <v>174.95000000000002</v>
      </c>
      <c r="D444" t="s">
        <v>813</v>
      </c>
      <c r="E444" t="str">
        <f>CONCATENATE(J444,". ",N444)</f>
        <v>05. Wood Cutting</v>
      </c>
      <c r="F444">
        <v>75</v>
      </c>
      <c r="G444" t="b">
        <v>1</v>
      </c>
      <c r="H444">
        <v>100</v>
      </c>
      <c r="J444" s="193" t="s">
        <v>263</v>
      </c>
      <c r="K444" s="188">
        <f>IFERROR(_xlfn.XLOOKUP(A444,[1]Fleet!A:A,[1]Fleet!E:E,""),"")</f>
        <v>36</v>
      </c>
      <c r="L444" s="188">
        <v>163.5</v>
      </c>
      <c r="M444" s="188" t="s">
        <v>948</v>
      </c>
      <c r="N444" s="188" t="s">
        <v>867</v>
      </c>
      <c r="O444">
        <v>425</v>
      </c>
      <c r="P444">
        <f>_xlfn.XLOOKUP(A444,'[1]Classic Net to delete'!D:D,'[1]Classic Net to delete'!AA:AA,0)</f>
        <v>346</v>
      </c>
    </row>
    <row r="445" spans="1:16" x14ac:dyDescent="0.25">
      <c r="A445" t="s">
        <v>949</v>
      </c>
      <c r="B445" t="s">
        <v>950</v>
      </c>
      <c r="C445">
        <v>192.76</v>
      </c>
      <c r="D445" t="s">
        <v>813</v>
      </c>
      <c r="E445" t="str">
        <f>CONCATENATE(J445,". ",N445)</f>
        <v>05. Wood Cutting</v>
      </c>
      <c r="F445">
        <v>75</v>
      </c>
      <c r="G445" t="b">
        <v>1</v>
      </c>
      <c r="H445">
        <v>101</v>
      </c>
      <c r="J445" s="193" t="s">
        <v>263</v>
      </c>
      <c r="K445" s="188">
        <f>IFERROR(_xlfn.XLOOKUP(A445,[1]Fleet!A:A,[1]Fleet!E:E,""),"")</f>
        <v>21</v>
      </c>
      <c r="L445" s="188">
        <v>180.15</v>
      </c>
      <c r="M445" s="188" t="s">
        <v>950</v>
      </c>
      <c r="N445" s="188" t="s">
        <v>867</v>
      </c>
      <c r="O445">
        <v>426</v>
      </c>
      <c r="P445">
        <f>_xlfn.XLOOKUP(A445,'[1]Classic Net to delete'!D:D,'[1]Classic Net to delete'!AA:AA,0)</f>
        <v>347</v>
      </c>
    </row>
    <row r="446" spans="1:16" x14ac:dyDescent="0.25">
      <c r="A446" t="s">
        <v>1392</v>
      </c>
      <c r="B446" t="s">
        <v>1393</v>
      </c>
      <c r="C446">
        <v>24.98</v>
      </c>
      <c r="D446" t="s">
        <v>813</v>
      </c>
      <c r="E446" t="str">
        <f>CONCATENATE(J446,". ",N446)</f>
        <v>06. General Purpose Saws</v>
      </c>
      <c r="F446">
        <v>75</v>
      </c>
      <c r="G446" t="b">
        <v>1</v>
      </c>
      <c r="H446">
        <v>10</v>
      </c>
      <c r="J446" s="193" t="s">
        <v>259</v>
      </c>
      <c r="K446" s="188">
        <f>IFERROR(_xlfn.XLOOKUP(A446,[1]Fleet!A:A,[1]Fleet!E:E,""),"")</f>
        <v>13</v>
      </c>
      <c r="L446" s="188">
        <v>23.35</v>
      </c>
      <c r="M446" s="188" t="s">
        <v>1393</v>
      </c>
      <c r="N446" s="188" t="s">
        <v>3800</v>
      </c>
      <c r="O446">
        <v>447</v>
      </c>
      <c r="P446">
        <f>_xlfn.XLOOKUP(A446,'[1]Classic Net to delete'!D:D,'[1]Classic Net to delete'!AA:AA,0)</f>
        <v>492</v>
      </c>
    </row>
    <row r="447" spans="1:16" x14ac:dyDescent="0.25">
      <c r="A447" t="s">
        <v>1428</v>
      </c>
      <c r="B447" t="s">
        <v>1429</v>
      </c>
      <c r="C447">
        <v>27.77</v>
      </c>
      <c r="D447" t="s">
        <v>813</v>
      </c>
      <c r="E447" t="str">
        <f>CONCATENATE(J447,". ",N447)</f>
        <v>06. General Purpose Saws</v>
      </c>
      <c r="F447">
        <v>75</v>
      </c>
      <c r="G447" t="b">
        <v>1</v>
      </c>
      <c r="H447">
        <v>11</v>
      </c>
      <c r="J447" s="193" t="s">
        <v>259</v>
      </c>
      <c r="K447" s="188">
        <f>IFERROR(_xlfn.XLOOKUP(A447,[1]Fleet!A:A,[1]Fleet!E:E,""),"")</f>
        <v>20</v>
      </c>
      <c r="L447" s="188">
        <v>25.950000000000003</v>
      </c>
      <c r="M447" s="188" t="s">
        <v>1430</v>
      </c>
      <c r="N447" s="188" t="s">
        <v>3800</v>
      </c>
      <c r="O447">
        <v>451</v>
      </c>
      <c r="P447">
        <f>_xlfn.XLOOKUP(A447,'[1]Classic Net to delete'!D:D,'[1]Classic Net to delete'!AA:AA,0)</f>
        <v>493</v>
      </c>
    </row>
    <row r="448" spans="1:16" x14ac:dyDescent="0.25">
      <c r="A448" t="s">
        <v>1445</v>
      </c>
      <c r="B448" t="s">
        <v>1446</v>
      </c>
      <c r="C448">
        <v>49.59</v>
      </c>
      <c r="D448" t="s">
        <v>813</v>
      </c>
      <c r="E448" t="str">
        <f>CONCATENATE(J448,". ",N448)</f>
        <v>06. General Purpose Saws</v>
      </c>
      <c r="F448">
        <v>75</v>
      </c>
      <c r="G448" t="b">
        <v>1</v>
      </c>
      <c r="H448">
        <v>12</v>
      </c>
      <c r="J448" s="193" t="s">
        <v>259</v>
      </c>
      <c r="K448" s="188">
        <f>IFERROR(_xlfn.XLOOKUP(A448,[1]Fleet!A:A,[1]Fleet!E:E,""),"")</f>
        <v>11</v>
      </c>
      <c r="L448" s="188">
        <v>46.35</v>
      </c>
      <c r="M448" s="188" t="s">
        <v>1446</v>
      </c>
      <c r="N448" s="188" t="s">
        <v>3800</v>
      </c>
      <c r="O448">
        <v>452</v>
      </c>
      <c r="P448">
        <f>_xlfn.XLOOKUP(A448,'[1]Classic Net to delete'!D:D,'[1]Classic Net to delete'!AA:AA,0)</f>
        <v>494</v>
      </c>
    </row>
    <row r="449" spans="1:16" x14ac:dyDescent="0.25">
      <c r="A449" t="s">
        <v>1431</v>
      </c>
      <c r="B449" t="s">
        <v>1432</v>
      </c>
      <c r="C449">
        <v>54.57</v>
      </c>
      <c r="D449" t="s">
        <v>813</v>
      </c>
      <c r="E449" t="str">
        <f>CONCATENATE(J449,". ",N449)</f>
        <v>06. General Purpose Saws</v>
      </c>
      <c r="F449">
        <v>75</v>
      </c>
      <c r="G449" t="b">
        <v>1</v>
      </c>
      <c r="H449">
        <v>13</v>
      </c>
      <c r="J449" s="193" t="s">
        <v>259</v>
      </c>
      <c r="K449" s="188">
        <f>IFERROR(_xlfn.XLOOKUP(A449,[1]Fleet!A:A,[1]Fleet!E:E,""),"")</f>
        <v>4</v>
      </c>
      <c r="L449" s="188">
        <v>51</v>
      </c>
      <c r="M449" s="188" t="s">
        <v>1433</v>
      </c>
      <c r="N449" s="188" t="s">
        <v>3800</v>
      </c>
      <c r="O449">
        <v>454</v>
      </c>
      <c r="P449">
        <f>_xlfn.XLOOKUP(A449,'[1]Classic Net to delete'!D:D,'[1]Classic Net to delete'!AA:AA,0)</f>
        <v>495</v>
      </c>
    </row>
    <row r="450" spans="1:16" x14ac:dyDescent="0.25">
      <c r="A450" t="s">
        <v>1447</v>
      </c>
      <c r="B450" t="s">
        <v>1448</v>
      </c>
      <c r="C450">
        <v>70.33</v>
      </c>
      <c r="D450" t="s">
        <v>813</v>
      </c>
      <c r="E450" t="str">
        <f>CONCATENATE(J450,". ",N450)</f>
        <v>06. General Purpose Saws</v>
      </c>
      <c r="F450">
        <v>75</v>
      </c>
      <c r="G450" t="b">
        <v>1</v>
      </c>
      <c r="H450">
        <v>14</v>
      </c>
      <c r="J450" s="193" t="s">
        <v>259</v>
      </c>
      <c r="K450" s="188">
        <f>IFERROR(_xlfn.XLOOKUP(A450,[1]Fleet!A:A,[1]Fleet!E:E,""),"")</f>
        <v>3</v>
      </c>
      <c r="L450" s="188">
        <v>59.6</v>
      </c>
      <c r="M450" s="188" t="s">
        <v>1449</v>
      </c>
      <c r="N450" s="188" t="s">
        <v>3800</v>
      </c>
      <c r="O450">
        <v>453</v>
      </c>
      <c r="P450">
        <f>_xlfn.XLOOKUP(A450,'[1]Classic Net to delete'!D:D,'[1]Classic Net to delete'!AA:AA,0)</f>
        <v>783</v>
      </c>
    </row>
    <row r="451" spans="1:16" x14ac:dyDescent="0.25">
      <c r="A451" t="s">
        <v>1450</v>
      </c>
      <c r="B451" t="s">
        <v>1451</v>
      </c>
      <c r="C451">
        <v>96.76</v>
      </c>
      <c r="D451" t="s">
        <v>813</v>
      </c>
      <c r="E451" t="str">
        <f>CONCATENATE(J451,". ",N451)</f>
        <v>06. General Purpose Saws</v>
      </c>
      <c r="F451">
        <v>75</v>
      </c>
      <c r="G451" t="b">
        <v>1</v>
      </c>
      <c r="H451">
        <v>15</v>
      </c>
      <c r="J451" s="193" t="s">
        <v>259</v>
      </c>
      <c r="K451" s="188">
        <f>IFERROR(_xlfn.XLOOKUP(A451,[1]Fleet!A:A,[1]Fleet!E:E,""),"")</f>
        <v>4</v>
      </c>
      <c r="L451" s="188">
        <v>82</v>
      </c>
      <c r="M451" s="188" t="s">
        <v>1452</v>
      </c>
      <c r="N451" s="188" t="s">
        <v>3800</v>
      </c>
      <c r="O451">
        <v>455</v>
      </c>
      <c r="P451">
        <f>_xlfn.XLOOKUP(A451,'[1]Classic Net to delete'!D:D,'[1]Classic Net to delete'!AA:AA,0)</f>
        <v>784</v>
      </c>
    </row>
    <row r="452" spans="1:16" x14ac:dyDescent="0.25">
      <c r="A452" t="s">
        <v>1434</v>
      </c>
      <c r="B452" t="s">
        <v>1435</v>
      </c>
      <c r="C452">
        <v>80.89</v>
      </c>
      <c r="D452" t="s">
        <v>813</v>
      </c>
      <c r="E452" t="str">
        <f>CONCATENATE(J452,". ",N452)</f>
        <v>06. General Purpose Saws</v>
      </c>
      <c r="F452">
        <v>75</v>
      </c>
      <c r="G452" t="b">
        <v>1</v>
      </c>
      <c r="H452">
        <v>16</v>
      </c>
      <c r="J452" s="193" t="s">
        <v>259</v>
      </c>
      <c r="K452" s="188">
        <f>IFERROR(_xlfn.XLOOKUP(A452,[1]Fleet!A:A,[1]Fleet!E:E,""),"")</f>
        <v>33</v>
      </c>
      <c r="L452" s="188">
        <v>75.600000000000009</v>
      </c>
      <c r="M452" s="188" t="s">
        <v>1436</v>
      </c>
      <c r="N452" s="188" t="s">
        <v>3800</v>
      </c>
      <c r="O452">
        <v>456</v>
      </c>
      <c r="P452">
        <f>_xlfn.XLOOKUP(A452,'[1]Classic Net to delete'!D:D,'[1]Classic Net to delete'!AA:AA,0)</f>
        <v>786</v>
      </c>
    </row>
    <row r="453" spans="1:16" x14ac:dyDescent="0.25">
      <c r="A453" t="s">
        <v>923</v>
      </c>
      <c r="B453" t="s">
        <v>924</v>
      </c>
      <c r="C453">
        <v>32.53</v>
      </c>
      <c r="D453" t="s">
        <v>813</v>
      </c>
      <c r="E453" t="str">
        <f>CONCATENATE(J453,". ",N453)</f>
        <v>06. General Purpose Saws</v>
      </c>
      <c r="F453">
        <v>75</v>
      </c>
      <c r="G453" t="b">
        <v>1</v>
      </c>
      <c r="H453">
        <v>17</v>
      </c>
      <c r="J453" s="193" t="s">
        <v>259</v>
      </c>
      <c r="K453" s="188">
        <f>IFERROR(_xlfn.XLOOKUP(A453,[1]Fleet!A:A,[1]Fleet!E:E,""),"")</f>
        <v>14</v>
      </c>
      <c r="L453" s="188">
        <v>30.400000000000002</v>
      </c>
      <c r="M453" s="188" t="s">
        <v>924</v>
      </c>
      <c r="N453" s="188" t="s">
        <v>3800</v>
      </c>
      <c r="O453">
        <v>419</v>
      </c>
      <c r="P453">
        <f>_xlfn.XLOOKUP(A453,'[1]Classic Net to delete'!D:D,'[1]Classic Net to delete'!AA:AA,0)</f>
        <v>499</v>
      </c>
    </row>
    <row r="454" spans="1:16" x14ac:dyDescent="0.25">
      <c r="A454" t="s">
        <v>1383</v>
      </c>
      <c r="B454" t="s">
        <v>1384</v>
      </c>
      <c r="C454">
        <v>68.16</v>
      </c>
      <c r="D454" t="s">
        <v>813</v>
      </c>
      <c r="E454" t="str">
        <f>CONCATENATE(J454,". ",N454)</f>
        <v>06. General Purpose Saws</v>
      </c>
      <c r="F454">
        <v>75</v>
      </c>
      <c r="G454" t="b">
        <v>1</v>
      </c>
      <c r="H454">
        <v>18</v>
      </c>
      <c r="J454" s="193" t="s">
        <v>259</v>
      </c>
      <c r="K454" s="188">
        <f>IFERROR(_xlfn.XLOOKUP(A454,[1]Fleet!A:A,[1]Fleet!E:E,""),"")</f>
        <v>2</v>
      </c>
      <c r="L454" s="188">
        <v>63.7</v>
      </c>
      <c r="M454" s="188" t="s">
        <v>1385</v>
      </c>
      <c r="N454" s="188" t="s">
        <v>3800</v>
      </c>
      <c r="O454">
        <v>446</v>
      </c>
      <c r="P454">
        <f>_xlfn.XLOOKUP(A454,'[1]Classic Net to delete'!D:D,'[1]Classic Net to delete'!AA:AA,0)</f>
        <v>519</v>
      </c>
    </row>
    <row r="455" spans="1:16" x14ac:dyDescent="0.25">
      <c r="A455" t="s">
        <v>1333</v>
      </c>
      <c r="B455" t="s">
        <v>1334</v>
      </c>
      <c r="C455">
        <v>68.16</v>
      </c>
      <c r="D455" t="s">
        <v>813</v>
      </c>
      <c r="E455" t="str">
        <f>CONCATENATE(J455,". ",N455)</f>
        <v>06. General Purpose Saws</v>
      </c>
      <c r="F455">
        <v>75</v>
      </c>
      <c r="G455" t="b">
        <v>1</v>
      </c>
      <c r="H455">
        <v>20</v>
      </c>
      <c r="J455" s="193" t="s">
        <v>259</v>
      </c>
      <c r="K455" s="188">
        <f>IFERROR(_xlfn.XLOOKUP(A455,[1]Fleet!A:A,[1]Fleet!E:E,""),"")</f>
        <v>2</v>
      </c>
      <c r="L455" s="188">
        <v>63.7</v>
      </c>
      <c r="M455" s="188" t="s">
        <v>1335</v>
      </c>
      <c r="N455" s="188" t="s">
        <v>3800</v>
      </c>
      <c r="O455">
        <v>379</v>
      </c>
      <c r="P455">
        <f>_xlfn.XLOOKUP(A455,'[1]Classic Net to delete'!D:D,'[1]Classic Net to delete'!AA:AA,0)</f>
        <v>496</v>
      </c>
    </row>
    <row r="456" spans="1:16" x14ac:dyDescent="0.25">
      <c r="A456" t="s">
        <v>1425</v>
      </c>
      <c r="B456" t="s">
        <v>1426</v>
      </c>
      <c r="C456">
        <v>45.15</v>
      </c>
      <c r="D456" t="s">
        <v>813</v>
      </c>
      <c r="E456" t="str">
        <f>CONCATENATE(J456,". ",N456)</f>
        <v>06. General Purpose Saws</v>
      </c>
      <c r="F456">
        <v>75</v>
      </c>
      <c r="G456" t="b">
        <v>1</v>
      </c>
      <c r="H456">
        <v>771</v>
      </c>
      <c r="J456" s="193" t="s">
        <v>259</v>
      </c>
      <c r="K456" s="188">
        <f>IFERROR(_xlfn.XLOOKUP(A456,[1]Fleet!A:A,[1]Fleet!E:E,""),"")</f>
        <v>3</v>
      </c>
      <c r="L456" s="188">
        <v>42.2</v>
      </c>
      <c r="M456" s="188" t="s">
        <v>1427</v>
      </c>
      <c r="N456" s="188" t="s">
        <v>3800</v>
      </c>
      <c r="O456">
        <v>450</v>
      </c>
      <c r="P456">
        <f>_xlfn.XLOOKUP(A456,'[1]Classic Net to delete'!D:D,'[1]Classic Net to delete'!AA:AA,0)</f>
        <v>771</v>
      </c>
    </row>
    <row r="457" spans="1:16" x14ac:dyDescent="0.25">
      <c r="A457" t="s">
        <v>1394</v>
      </c>
      <c r="B457" t="s">
        <v>1395</v>
      </c>
      <c r="C457">
        <v>41.410000000000004</v>
      </c>
      <c r="D457" t="s">
        <v>813</v>
      </c>
      <c r="E457" t="str">
        <f>CONCATENATE(J457,". ",N457)</f>
        <v>06. General Purpose Saws</v>
      </c>
      <c r="F457">
        <v>75</v>
      </c>
      <c r="G457" t="b">
        <v>1</v>
      </c>
      <c r="H457">
        <v>772</v>
      </c>
      <c r="J457" s="193" t="s">
        <v>259</v>
      </c>
      <c r="K457" s="188">
        <f>IFERROR(_xlfn.XLOOKUP(A457,[1]Fleet!A:A,[1]Fleet!E:E,""),"")</f>
        <v>3</v>
      </c>
      <c r="L457" s="188">
        <v>38.700000000000003</v>
      </c>
      <c r="M457" s="188" t="s">
        <v>1395</v>
      </c>
      <c r="N457" s="188" t="s">
        <v>3800</v>
      </c>
      <c r="O457">
        <v>448</v>
      </c>
      <c r="P457">
        <f>_xlfn.XLOOKUP(A457,'[1]Classic Net to delete'!D:D,'[1]Classic Net to delete'!AA:AA,0)</f>
        <v>772</v>
      </c>
    </row>
    <row r="458" spans="1:16" x14ac:dyDescent="0.25">
      <c r="A458" t="s">
        <v>1336</v>
      </c>
      <c r="B458" t="s">
        <v>1337</v>
      </c>
      <c r="C458">
        <v>53.980000000000004</v>
      </c>
      <c r="D458" t="s">
        <v>813</v>
      </c>
      <c r="E458" t="str">
        <f>CONCATENATE(J458,". ",N458)</f>
        <v>06. General Purpose Saws</v>
      </c>
      <c r="F458">
        <v>75</v>
      </c>
      <c r="G458" t="b">
        <v>1</v>
      </c>
      <c r="H458">
        <v>775</v>
      </c>
      <c r="J458" s="193" t="s">
        <v>259</v>
      </c>
      <c r="K458" s="188">
        <f>IFERROR(_xlfn.XLOOKUP(A458,[1]Fleet!A:A,[1]Fleet!E:E,""),"")</f>
        <v>5</v>
      </c>
      <c r="L458" s="188">
        <v>50.45</v>
      </c>
      <c r="M458" s="188" t="s">
        <v>1337</v>
      </c>
      <c r="N458" s="188" t="s">
        <v>3800</v>
      </c>
      <c r="O458">
        <v>445</v>
      </c>
      <c r="P458">
        <f>_xlfn.XLOOKUP(A458,'[1]Classic Net to delete'!D:D,'[1]Classic Net to delete'!AA:AA,0)</f>
        <v>775</v>
      </c>
    </row>
    <row r="459" spans="1:16" x14ac:dyDescent="0.25">
      <c r="A459" t="s">
        <v>1013</v>
      </c>
      <c r="B459" t="s">
        <v>1014</v>
      </c>
      <c r="C459">
        <v>53.61</v>
      </c>
      <c r="D459" t="s">
        <v>976</v>
      </c>
      <c r="E459" t="str">
        <f>CONCATENATE(J459,". ",N459)</f>
        <v>. Impact and Screwdrivers</v>
      </c>
      <c r="F459">
        <v>75</v>
      </c>
      <c r="G459" t="b">
        <v>0</v>
      </c>
      <c r="H459">
        <v>0</v>
      </c>
      <c r="K459" s="188">
        <f>IFERROR(_xlfn.XLOOKUP(A459,[1]Fleet!A:A,[1]Fleet!E:E,""),"")</f>
        <v>4</v>
      </c>
      <c r="L459" s="188" t="s">
        <v>76</v>
      </c>
      <c r="M459" s="188" t="s">
        <v>76</v>
      </c>
      <c r="N459" s="188" t="s">
        <v>1006</v>
      </c>
      <c r="O459">
        <v>467</v>
      </c>
      <c r="P459">
        <f>_xlfn.XLOOKUP(A459,'[1]Classic Net to delete'!D:D,'[1]Classic Net to delete'!AA:AA,0)</f>
        <v>0</v>
      </c>
    </row>
    <row r="460" spans="1:16" x14ac:dyDescent="0.25">
      <c r="A460" t="s">
        <v>1024</v>
      </c>
      <c r="B460" t="s">
        <v>1025</v>
      </c>
      <c r="C460">
        <v>53.61</v>
      </c>
      <c r="D460" t="s">
        <v>976</v>
      </c>
      <c r="E460" t="str">
        <f>CONCATENATE(J460,". ",N460)</f>
        <v>. Impact and Screwdrivers</v>
      </c>
      <c r="F460">
        <v>75</v>
      </c>
      <c r="G460" t="b">
        <v>0</v>
      </c>
      <c r="H460">
        <v>0</v>
      </c>
      <c r="K460" s="188">
        <f>IFERROR(_xlfn.XLOOKUP(A460,[1]Fleet!A:A,[1]Fleet!E:E,""),"")</f>
        <v>11</v>
      </c>
      <c r="L460" s="188" t="s">
        <v>76</v>
      </c>
      <c r="M460" s="188" t="s">
        <v>76</v>
      </c>
      <c r="N460" s="188" t="s">
        <v>1006</v>
      </c>
      <c r="O460">
        <v>470</v>
      </c>
      <c r="P460">
        <f>_xlfn.XLOOKUP(A460,'[1]Classic Net to delete'!D:D,'[1]Classic Net to delete'!AA:AA,0)</f>
        <v>0</v>
      </c>
    </row>
    <row r="461" spans="1:16" x14ac:dyDescent="0.25">
      <c r="A461" t="s">
        <v>979</v>
      </c>
      <c r="B461" t="s">
        <v>980</v>
      </c>
      <c r="C461">
        <v>75.38</v>
      </c>
      <c r="D461" t="s">
        <v>976</v>
      </c>
      <c r="E461" t="str">
        <f>CONCATENATE(J461,". ",N461)</f>
        <v>. Nailers, Brads and Staplers</v>
      </c>
      <c r="F461">
        <v>75</v>
      </c>
      <c r="G461" t="b">
        <v>0</v>
      </c>
      <c r="H461">
        <v>0</v>
      </c>
      <c r="K461" s="188">
        <f>IFERROR(_xlfn.XLOOKUP(A461,[1]Fleet!A:A,[1]Fleet!E:E,""),"")</f>
        <v>1</v>
      </c>
      <c r="L461" s="188" t="s">
        <v>76</v>
      </c>
      <c r="M461" s="188" t="s">
        <v>76</v>
      </c>
      <c r="N461" s="188" t="s">
        <v>978</v>
      </c>
      <c r="O461">
        <v>484</v>
      </c>
      <c r="P461">
        <f>_xlfn.XLOOKUP(A461,'[1]Classic Net to delete'!D:D,'[1]Classic Net to delete'!AA:AA,0)</f>
        <v>0</v>
      </c>
    </row>
    <row r="462" spans="1:16" x14ac:dyDescent="0.25">
      <c r="A462" t="s">
        <v>981</v>
      </c>
      <c r="B462" t="s">
        <v>982</v>
      </c>
      <c r="C462">
        <v>75.38</v>
      </c>
      <c r="D462" t="s">
        <v>976</v>
      </c>
      <c r="E462" t="str">
        <f>CONCATENATE(J462,". ",N462)</f>
        <v>. Nailers, Brads and Staplers</v>
      </c>
      <c r="F462">
        <v>75</v>
      </c>
      <c r="G462" t="b">
        <v>0</v>
      </c>
      <c r="H462">
        <v>0</v>
      </c>
      <c r="K462" s="188">
        <f>IFERROR(_xlfn.XLOOKUP(A462,[1]Fleet!A:A,[1]Fleet!E:E,""),"")</f>
        <v>3</v>
      </c>
      <c r="L462" s="188" t="s">
        <v>76</v>
      </c>
      <c r="M462" s="188" t="s">
        <v>76</v>
      </c>
      <c r="N462" s="188" t="s">
        <v>978</v>
      </c>
      <c r="O462">
        <v>478</v>
      </c>
      <c r="P462">
        <f>_xlfn.XLOOKUP(A462,'[1]Classic Net to delete'!D:D,'[1]Classic Net to delete'!AA:AA,0)</f>
        <v>0</v>
      </c>
    </row>
    <row r="463" spans="1:16" x14ac:dyDescent="0.25">
      <c r="A463" t="s">
        <v>986</v>
      </c>
      <c r="B463" t="s">
        <v>987</v>
      </c>
      <c r="C463">
        <v>67.61</v>
      </c>
      <c r="D463" t="s">
        <v>976</v>
      </c>
      <c r="E463" t="str">
        <f>CONCATENATE(J463,". ",N463)</f>
        <v>. Nailers, Brads and Staplers</v>
      </c>
      <c r="F463">
        <v>75</v>
      </c>
      <c r="G463" t="b">
        <v>0</v>
      </c>
      <c r="H463">
        <v>0</v>
      </c>
      <c r="K463" s="188">
        <f>IFERROR(_xlfn.XLOOKUP(A463,[1]Fleet!A:A,[1]Fleet!E:E,""),"")</f>
        <v>3</v>
      </c>
      <c r="L463" s="188" t="s">
        <v>76</v>
      </c>
      <c r="M463" s="188" t="s">
        <v>76</v>
      </c>
      <c r="N463" s="188" t="s">
        <v>978</v>
      </c>
      <c r="O463">
        <v>483</v>
      </c>
      <c r="P463">
        <f>_xlfn.XLOOKUP(A463,'[1]Classic Net to delete'!D:D,'[1]Classic Net to delete'!AA:AA,0)</f>
        <v>0</v>
      </c>
    </row>
    <row r="464" spans="1:16" x14ac:dyDescent="0.25">
      <c r="A464" t="s">
        <v>991</v>
      </c>
      <c r="B464" t="s">
        <v>992</v>
      </c>
      <c r="C464">
        <v>72.23</v>
      </c>
      <c r="D464" t="s">
        <v>976</v>
      </c>
      <c r="E464" t="str">
        <f>CONCATENATE(J464,". ",N464)</f>
        <v>. Nailers, Brads and Staplers</v>
      </c>
      <c r="F464">
        <v>75</v>
      </c>
      <c r="G464" t="b">
        <v>0</v>
      </c>
      <c r="H464">
        <v>0</v>
      </c>
      <c r="K464" s="188">
        <f>IFERROR(_xlfn.XLOOKUP(A464,[1]Fleet!A:A,[1]Fleet!E:E,""),"")</f>
        <v>3</v>
      </c>
      <c r="L464" s="188" t="s">
        <v>76</v>
      </c>
      <c r="M464" s="188" t="s">
        <v>76</v>
      </c>
      <c r="N464" s="188" t="s">
        <v>978</v>
      </c>
      <c r="O464">
        <v>486</v>
      </c>
      <c r="P464">
        <f>_xlfn.XLOOKUP(A464,'[1]Classic Net to delete'!D:D,'[1]Classic Net to delete'!AA:AA,0)</f>
        <v>0</v>
      </c>
    </row>
    <row r="465" spans="1:16" x14ac:dyDescent="0.25">
      <c r="A465" t="s">
        <v>998</v>
      </c>
      <c r="B465" t="s">
        <v>999</v>
      </c>
      <c r="C465">
        <v>52.38</v>
      </c>
      <c r="D465" t="s">
        <v>976</v>
      </c>
      <c r="E465" t="str">
        <f>CONCATENATE(J465,". ",N465)</f>
        <v>. Nailers, Brads and Staplers</v>
      </c>
      <c r="F465">
        <v>75</v>
      </c>
      <c r="G465" t="b">
        <v>0</v>
      </c>
      <c r="H465">
        <v>0</v>
      </c>
      <c r="K465" s="188">
        <f>IFERROR(_xlfn.XLOOKUP(A465,[1]Fleet!A:A,[1]Fleet!E:E,""),"")</f>
        <v>8</v>
      </c>
      <c r="L465" s="188" t="s">
        <v>76</v>
      </c>
      <c r="M465" s="188" t="s">
        <v>76</v>
      </c>
      <c r="N465" s="188" t="s">
        <v>978</v>
      </c>
      <c r="O465">
        <v>482</v>
      </c>
      <c r="P465">
        <f>_xlfn.XLOOKUP(A465,'[1]Classic Net to delete'!D:D,'[1]Classic Net to delete'!AA:AA,0)</f>
        <v>0</v>
      </c>
    </row>
    <row r="466" spans="1:16" x14ac:dyDescent="0.25">
      <c r="A466" t="s">
        <v>1031</v>
      </c>
      <c r="B466" t="s">
        <v>1032</v>
      </c>
      <c r="C466">
        <v>57.410000000000004</v>
      </c>
      <c r="D466" t="s">
        <v>976</v>
      </c>
      <c r="E466" t="str">
        <f>CONCATENATE(J466,". ",N466)</f>
        <v>. Nailers, Brads and Staplers</v>
      </c>
      <c r="F466">
        <v>75</v>
      </c>
      <c r="G466" t="b">
        <v>0</v>
      </c>
      <c r="H466">
        <v>0</v>
      </c>
      <c r="K466" s="188">
        <f>IFERROR(_xlfn.XLOOKUP(A466,[1]Fleet!A:A,[1]Fleet!E:E,""),"")</f>
        <v>1</v>
      </c>
      <c r="L466" s="188" t="s">
        <v>76</v>
      </c>
      <c r="M466" s="188" t="s">
        <v>76</v>
      </c>
      <c r="N466" s="188" t="s">
        <v>978</v>
      </c>
      <c r="O466">
        <v>480</v>
      </c>
      <c r="P466">
        <f>_xlfn.XLOOKUP(A466,'[1]Classic Net to delete'!D:D,'[1]Classic Net to delete'!AA:AA,0)</f>
        <v>0</v>
      </c>
    </row>
    <row r="467" spans="1:16" x14ac:dyDescent="0.25">
      <c r="A467" t="s">
        <v>1036</v>
      </c>
      <c r="B467" t="s">
        <v>1037</v>
      </c>
      <c r="C467">
        <v>91.86</v>
      </c>
      <c r="D467" t="s">
        <v>976</v>
      </c>
      <c r="E467" t="str">
        <f>CONCATENATE(J467,". ",N467)</f>
        <v>. Nailers, Brads and Staplers</v>
      </c>
      <c r="F467">
        <v>75</v>
      </c>
      <c r="G467" t="b">
        <v>0</v>
      </c>
      <c r="H467">
        <v>0</v>
      </c>
      <c r="K467" s="188">
        <f>IFERROR(_xlfn.XLOOKUP(A467,[1]Fleet!A:A,[1]Fleet!E:E,""),"")</f>
        <v>3</v>
      </c>
      <c r="L467" s="188" t="s">
        <v>76</v>
      </c>
      <c r="M467" s="188" t="s">
        <v>76</v>
      </c>
      <c r="N467" s="188" t="s">
        <v>978</v>
      </c>
      <c r="O467">
        <v>485</v>
      </c>
      <c r="P467">
        <f>_xlfn.XLOOKUP(A467,'[1]Classic Net to delete'!D:D,'[1]Classic Net to delete'!AA:AA,0)</f>
        <v>0</v>
      </c>
    </row>
    <row r="468" spans="1:16" x14ac:dyDescent="0.25">
      <c r="A468" t="s">
        <v>983</v>
      </c>
      <c r="B468" t="s">
        <v>984</v>
      </c>
      <c r="C468">
        <v>67.61</v>
      </c>
      <c r="D468" t="s">
        <v>976</v>
      </c>
      <c r="E468" t="str">
        <f>CONCATENATE(J468,". ",N468)</f>
        <v>01. Nailers, Brads and Staplers</v>
      </c>
      <c r="F468">
        <v>75</v>
      </c>
      <c r="G468" t="b">
        <v>1</v>
      </c>
      <c r="H468">
        <v>556</v>
      </c>
      <c r="J468" s="193" t="s">
        <v>20</v>
      </c>
      <c r="K468" s="188">
        <f>IFERROR(_xlfn.XLOOKUP(A468,[1]Fleet!A:A,[1]Fleet!E:E,""),"")</f>
        <v>30</v>
      </c>
      <c r="L468" s="188">
        <v>57.300000000000004</v>
      </c>
      <c r="M468" s="188" t="s">
        <v>985</v>
      </c>
      <c r="N468" s="188" t="s">
        <v>978</v>
      </c>
      <c r="O468">
        <v>481</v>
      </c>
      <c r="P468">
        <f>_xlfn.XLOOKUP(A468,'[1]Classic Net to delete'!D:D,'[1]Classic Net to delete'!AA:AA,0)</f>
        <v>556</v>
      </c>
    </row>
    <row r="469" spans="1:16" x14ac:dyDescent="0.25">
      <c r="A469" t="s">
        <v>2248</v>
      </c>
      <c r="B469" t="s">
        <v>2249</v>
      </c>
      <c r="C469">
        <v>22.1</v>
      </c>
      <c r="D469" t="s">
        <v>976</v>
      </c>
      <c r="E469" t="str">
        <f>CONCATENATE(J469,". ",N469)</f>
        <v>01. Nailers, Brads and Staplers</v>
      </c>
      <c r="F469">
        <v>75</v>
      </c>
      <c r="G469" t="b">
        <v>1</v>
      </c>
      <c r="H469">
        <v>557</v>
      </c>
      <c r="J469" s="193" t="s">
        <v>20</v>
      </c>
      <c r="K469" s="188" t="str">
        <f>IFERROR(_xlfn.XLOOKUP(A469,[1]Fleet!A:A,[1]Fleet!E:E,""),"")</f>
        <v/>
      </c>
      <c r="L469" s="188">
        <v>20.650000000000002</v>
      </c>
      <c r="M469" s="188" t="s">
        <v>2249</v>
      </c>
      <c r="N469" s="188" t="s">
        <v>978</v>
      </c>
      <c r="O469">
        <v>459</v>
      </c>
      <c r="P469">
        <f>_xlfn.XLOOKUP(A469,'[1]Classic Net to delete'!D:D,'[1]Classic Net to delete'!AA:AA,0)</f>
        <v>557</v>
      </c>
    </row>
    <row r="470" spans="1:16" x14ac:dyDescent="0.25">
      <c r="A470" t="s">
        <v>1033</v>
      </c>
      <c r="B470" t="s">
        <v>1034</v>
      </c>
      <c r="C470">
        <v>87.19</v>
      </c>
      <c r="D470" t="s">
        <v>976</v>
      </c>
      <c r="E470" t="str">
        <f>CONCATENATE(J470,". ",N470)</f>
        <v>01. Nailers, Brads and Staplers</v>
      </c>
      <c r="F470">
        <v>75</v>
      </c>
      <c r="G470" t="b">
        <v>1</v>
      </c>
      <c r="H470">
        <v>560</v>
      </c>
      <c r="J470" s="193" t="s">
        <v>20</v>
      </c>
      <c r="K470" s="188">
        <f>IFERROR(_xlfn.XLOOKUP(A470,[1]Fleet!A:A,[1]Fleet!E:E,""),"")</f>
        <v>5</v>
      </c>
      <c r="L470" s="188">
        <v>77.850000000000009</v>
      </c>
      <c r="M470" s="188" t="s">
        <v>1035</v>
      </c>
      <c r="N470" s="188" t="s">
        <v>978</v>
      </c>
      <c r="O470">
        <v>477</v>
      </c>
      <c r="P470">
        <f>_xlfn.XLOOKUP(A470,'[1]Classic Net to delete'!D:D,'[1]Classic Net to delete'!AA:AA,0)</f>
        <v>560</v>
      </c>
    </row>
    <row r="471" spans="1:16" x14ac:dyDescent="0.25">
      <c r="A471" t="s">
        <v>995</v>
      </c>
      <c r="B471" t="s">
        <v>996</v>
      </c>
      <c r="C471">
        <v>72.23</v>
      </c>
      <c r="D471" t="s">
        <v>976</v>
      </c>
      <c r="E471" t="str">
        <f>CONCATENATE(J471,". ",N471)</f>
        <v>01. Nailers, Brads and Staplers</v>
      </c>
      <c r="F471">
        <v>75</v>
      </c>
      <c r="G471" t="b">
        <v>1</v>
      </c>
      <c r="H471">
        <v>561</v>
      </c>
      <c r="J471" s="193" t="s">
        <v>20</v>
      </c>
      <c r="K471" s="188">
        <f>IFERROR(_xlfn.XLOOKUP(A471,[1]Fleet!A:A,[1]Fleet!E:E,""),"")</f>
        <v>8</v>
      </c>
      <c r="L471" s="188">
        <v>67.5</v>
      </c>
      <c r="M471" s="188" t="s">
        <v>997</v>
      </c>
      <c r="N471" s="188" t="s">
        <v>978</v>
      </c>
      <c r="O471">
        <v>475</v>
      </c>
      <c r="P471">
        <f>_xlfn.XLOOKUP(A471,'[1]Classic Net to delete'!D:D,'[1]Classic Net to delete'!AA:AA,0)</f>
        <v>561</v>
      </c>
    </row>
    <row r="472" spans="1:16" x14ac:dyDescent="0.25">
      <c r="A472" t="s">
        <v>974</v>
      </c>
      <c r="B472" t="s">
        <v>975</v>
      </c>
      <c r="C472">
        <v>75.38</v>
      </c>
      <c r="D472" t="s">
        <v>976</v>
      </c>
      <c r="E472" t="str">
        <f>CONCATENATE(J472,". ",N472)</f>
        <v>01. Nailers, Brads and Staplers</v>
      </c>
      <c r="F472">
        <v>75</v>
      </c>
      <c r="G472" t="b">
        <v>1</v>
      </c>
      <c r="H472">
        <v>562</v>
      </c>
      <c r="J472" s="193" t="s">
        <v>20</v>
      </c>
      <c r="K472" s="188">
        <f>IFERROR(_xlfn.XLOOKUP(A472,[1]Fleet!A:A,[1]Fleet!E:E,""),"")</f>
        <v>18</v>
      </c>
      <c r="L472" s="188">
        <v>70.45</v>
      </c>
      <c r="M472" s="188" t="s">
        <v>977</v>
      </c>
      <c r="N472" s="188" t="s">
        <v>978</v>
      </c>
      <c r="O472">
        <v>473</v>
      </c>
      <c r="P472">
        <f>_xlfn.XLOOKUP(A472,'[1]Classic Net to delete'!D:D,'[1]Classic Net to delete'!AA:AA,0)</f>
        <v>562</v>
      </c>
    </row>
    <row r="473" spans="1:16" x14ac:dyDescent="0.25">
      <c r="A473" t="s">
        <v>2245</v>
      </c>
      <c r="B473" t="s">
        <v>2246</v>
      </c>
      <c r="C473">
        <v>10.540000000000001</v>
      </c>
      <c r="D473" t="s">
        <v>976</v>
      </c>
      <c r="E473" t="str">
        <f>CONCATENATE(J473,". ",N473)</f>
        <v>01. Nailers, Brads and Staplers</v>
      </c>
      <c r="F473">
        <v>75</v>
      </c>
      <c r="G473" t="b">
        <v>1</v>
      </c>
      <c r="H473">
        <v>563</v>
      </c>
      <c r="J473" s="193" t="s">
        <v>20</v>
      </c>
      <c r="K473" s="188" t="str">
        <f>IFERROR(_xlfn.XLOOKUP(A473,[1]Fleet!A:A,[1]Fleet!E:E,""),"")</f>
        <v/>
      </c>
      <c r="L473" s="188">
        <v>9.8500000000000014</v>
      </c>
      <c r="M473" s="188" t="s">
        <v>2247</v>
      </c>
      <c r="N473" s="188" t="s">
        <v>978</v>
      </c>
      <c r="O473">
        <v>460</v>
      </c>
      <c r="P473">
        <f>_xlfn.XLOOKUP(A473,'[1]Classic Net to delete'!D:D,'[1]Classic Net to delete'!AA:AA,0)</f>
        <v>563</v>
      </c>
    </row>
    <row r="474" spans="1:16" x14ac:dyDescent="0.25">
      <c r="A474" t="s">
        <v>993</v>
      </c>
      <c r="B474" t="s">
        <v>994</v>
      </c>
      <c r="C474">
        <v>72.23</v>
      </c>
      <c r="D474" t="s">
        <v>976</v>
      </c>
      <c r="E474" t="str">
        <f>CONCATENATE(J474,". ",N474)</f>
        <v>01. Nailers, Brads and Staplers</v>
      </c>
      <c r="F474">
        <v>75</v>
      </c>
      <c r="G474" t="b">
        <v>1</v>
      </c>
      <c r="H474">
        <v>567</v>
      </c>
      <c r="J474" s="193" t="s">
        <v>20</v>
      </c>
      <c r="K474" s="188">
        <f>IFERROR(_xlfn.XLOOKUP(A474,[1]Fleet!A:A,[1]Fleet!E:E,""),"")</f>
        <v>11</v>
      </c>
      <c r="L474" s="188">
        <v>67.5</v>
      </c>
      <c r="M474" s="188" t="s">
        <v>994</v>
      </c>
      <c r="N474" s="188" t="s">
        <v>978</v>
      </c>
      <c r="O474">
        <v>474</v>
      </c>
      <c r="P474">
        <f>_xlfn.XLOOKUP(A474,'[1]Classic Net to delete'!D:D,'[1]Classic Net to delete'!AA:AA,0)</f>
        <v>567</v>
      </c>
    </row>
    <row r="475" spans="1:16" x14ac:dyDescent="0.25">
      <c r="A475" t="s">
        <v>988</v>
      </c>
      <c r="B475" t="s">
        <v>989</v>
      </c>
      <c r="C475">
        <v>0</v>
      </c>
      <c r="D475" t="s">
        <v>976</v>
      </c>
      <c r="E475" t="str">
        <f>CONCATENATE(J475,". ",N475)</f>
        <v>01. Nailers, Brads and Staplers</v>
      </c>
      <c r="F475">
        <v>75</v>
      </c>
      <c r="G475" t="b">
        <v>0</v>
      </c>
      <c r="H475">
        <v>569</v>
      </c>
      <c r="J475" s="193" t="s">
        <v>20</v>
      </c>
      <c r="K475" s="188" t="str">
        <f>IFERROR(_xlfn.XLOOKUP(A475,[1]Fleet!A:A,[1]Fleet!E:E,""),"")</f>
        <v/>
      </c>
      <c r="L475" s="188">
        <v>43.95</v>
      </c>
      <c r="M475" s="188" t="s">
        <v>990</v>
      </c>
      <c r="N475" s="188" t="s">
        <v>978</v>
      </c>
      <c r="O475">
        <v>479</v>
      </c>
      <c r="P475">
        <f>_xlfn.XLOOKUP(A475,'[1]Classic Net to delete'!D:D,'[1]Classic Net to delete'!AA:AA,0)</f>
        <v>569</v>
      </c>
    </row>
    <row r="476" spans="1:16" x14ac:dyDescent="0.25">
      <c r="A476" t="s">
        <v>1000</v>
      </c>
      <c r="B476" t="s">
        <v>1001</v>
      </c>
      <c r="C476">
        <v>58.1</v>
      </c>
      <c r="D476" t="s">
        <v>976</v>
      </c>
      <c r="E476" t="str">
        <f>CONCATENATE(J476,". ",N476)</f>
        <v>01. Nailers, Brads and Staplers</v>
      </c>
      <c r="F476">
        <v>75</v>
      </c>
      <c r="G476" t="b">
        <v>1</v>
      </c>
      <c r="H476">
        <v>573</v>
      </c>
      <c r="J476" s="193" t="s">
        <v>20</v>
      </c>
      <c r="K476" s="188">
        <f>IFERROR(_xlfn.XLOOKUP(A476,[1]Fleet!A:A,[1]Fleet!E:E,""),"")</f>
        <v>1</v>
      </c>
      <c r="L476" s="188">
        <v>54.300000000000004</v>
      </c>
      <c r="M476" s="188" t="s">
        <v>1002</v>
      </c>
      <c r="N476" s="188" t="s">
        <v>978</v>
      </c>
      <c r="O476">
        <v>476</v>
      </c>
      <c r="P476">
        <f>_xlfn.XLOOKUP(A476,'[1]Classic Net to delete'!D:D,'[1]Classic Net to delete'!AA:AA,0)</f>
        <v>573</v>
      </c>
    </row>
    <row r="477" spans="1:16" x14ac:dyDescent="0.25">
      <c r="A477" t="s">
        <v>1003</v>
      </c>
      <c r="B477" t="s">
        <v>1004</v>
      </c>
      <c r="C477">
        <v>65.38</v>
      </c>
      <c r="D477" t="s">
        <v>976</v>
      </c>
      <c r="E477" t="str">
        <f>CONCATENATE(J477,". ",N477)</f>
        <v>02. Impact and Screwdrivers</v>
      </c>
      <c r="F477">
        <v>75</v>
      </c>
      <c r="G477" t="b">
        <v>1</v>
      </c>
      <c r="H477">
        <v>577</v>
      </c>
      <c r="J477" s="193" t="s">
        <v>189</v>
      </c>
      <c r="K477" s="188">
        <f>IFERROR(_xlfn.XLOOKUP(A477,[1]Fleet!A:A,[1]Fleet!E:E,""),"")</f>
        <v>1</v>
      </c>
      <c r="L477" s="188">
        <v>61.1</v>
      </c>
      <c r="M477" s="188" t="s">
        <v>1005</v>
      </c>
      <c r="N477" s="188" t="s">
        <v>1006</v>
      </c>
      <c r="O477">
        <v>461</v>
      </c>
      <c r="P477">
        <f>_xlfn.XLOOKUP(A477,'[1]Classic Net to delete'!D:D,'[1]Classic Net to delete'!AA:AA,0)</f>
        <v>577</v>
      </c>
    </row>
    <row r="478" spans="1:16" x14ac:dyDescent="0.25">
      <c r="A478" t="s">
        <v>1028</v>
      </c>
      <c r="B478" t="s">
        <v>1029</v>
      </c>
      <c r="C478">
        <v>50.800000000000004</v>
      </c>
      <c r="D478" t="s">
        <v>976</v>
      </c>
      <c r="E478" t="str">
        <f>CONCATENATE(J478,". ",N478)</f>
        <v>02. Impact and Screwdrivers</v>
      </c>
      <c r="F478">
        <v>75</v>
      </c>
      <c r="G478" t="b">
        <v>1</v>
      </c>
      <c r="H478">
        <v>578</v>
      </c>
      <c r="J478" s="193" t="s">
        <v>189</v>
      </c>
      <c r="K478" s="188">
        <f>IFERROR(_xlfn.XLOOKUP(A478,[1]Fleet!A:A,[1]Fleet!E:E,""),"")</f>
        <v>3</v>
      </c>
      <c r="L478" s="188">
        <v>43.050000000000004</v>
      </c>
      <c r="M478" s="188" t="s">
        <v>1030</v>
      </c>
      <c r="N478" s="188" t="s">
        <v>1006</v>
      </c>
      <c r="O478">
        <v>464</v>
      </c>
      <c r="P478">
        <f>_xlfn.XLOOKUP(A478,'[1]Classic Net to delete'!D:D,'[1]Classic Net to delete'!AA:AA,0)</f>
        <v>578</v>
      </c>
    </row>
    <row r="479" spans="1:16" x14ac:dyDescent="0.25">
      <c r="A479" t="s">
        <v>1007</v>
      </c>
      <c r="B479" t="s">
        <v>1008</v>
      </c>
      <c r="C479">
        <v>54.28</v>
      </c>
      <c r="D479" t="s">
        <v>976</v>
      </c>
      <c r="E479" t="str">
        <f>CONCATENATE(J479,". ",N479)</f>
        <v>02. Impact and Screwdrivers</v>
      </c>
      <c r="F479">
        <v>75</v>
      </c>
      <c r="G479" t="b">
        <v>1</v>
      </c>
      <c r="H479">
        <v>579</v>
      </c>
      <c r="J479" s="193" t="s">
        <v>189</v>
      </c>
      <c r="K479" s="188">
        <f>IFERROR(_xlfn.XLOOKUP(A479,[1]Fleet!A:A,[1]Fleet!E:E,""),"")</f>
        <v>10</v>
      </c>
      <c r="L479" s="188">
        <v>46</v>
      </c>
      <c r="M479" s="188" t="s">
        <v>1009</v>
      </c>
      <c r="N479" s="188" t="s">
        <v>1006</v>
      </c>
      <c r="O479">
        <v>462</v>
      </c>
      <c r="P479">
        <f>_xlfn.XLOOKUP(A479,'[1]Classic Net to delete'!D:D,'[1]Classic Net to delete'!AA:AA,0)</f>
        <v>579</v>
      </c>
    </row>
    <row r="480" spans="1:16" x14ac:dyDescent="0.25">
      <c r="A480" t="s">
        <v>1010</v>
      </c>
      <c r="B480" t="s">
        <v>1011</v>
      </c>
      <c r="C480">
        <v>72.39</v>
      </c>
      <c r="D480" t="s">
        <v>976</v>
      </c>
      <c r="E480" t="str">
        <f>CONCATENATE(J480,". ",N480)</f>
        <v>02. Impact and Screwdrivers</v>
      </c>
      <c r="F480">
        <v>75</v>
      </c>
      <c r="G480" t="b">
        <v>1</v>
      </c>
      <c r="H480">
        <v>580</v>
      </c>
      <c r="J480" s="193" t="s">
        <v>189</v>
      </c>
      <c r="K480" s="188">
        <f>IFERROR(_xlfn.XLOOKUP(A480,[1]Fleet!A:A,[1]Fleet!E:E,""),"")</f>
        <v>7</v>
      </c>
      <c r="L480" s="188">
        <v>61.35</v>
      </c>
      <c r="M480" s="188" t="s">
        <v>1012</v>
      </c>
      <c r="N480" s="188" t="s">
        <v>1006</v>
      </c>
      <c r="O480">
        <v>465</v>
      </c>
      <c r="P480">
        <f>_xlfn.XLOOKUP(A480,'[1]Classic Net to delete'!D:D,'[1]Classic Net to delete'!AA:AA,0)</f>
        <v>580</v>
      </c>
    </row>
    <row r="481" spans="1:16" x14ac:dyDescent="0.25">
      <c r="A481" t="s">
        <v>1018</v>
      </c>
      <c r="B481" t="s">
        <v>1019</v>
      </c>
      <c r="C481">
        <v>0</v>
      </c>
      <c r="D481" t="s">
        <v>976</v>
      </c>
      <c r="E481" t="str">
        <f>CONCATENATE(J481,". ",N481)</f>
        <v>02. Impact and Screwdrivers</v>
      </c>
      <c r="F481">
        <v>75</v>
      </c>
      <c r="G481" t="b">
        <v>0</v>
      </c>
      <c r="H481">
        <v>584</v>
      </c>
      <c r="J481" s="193" t="s">
        <v>189</v>
      </c>
      <c r="K481" s="188">
        <f>IFERROR(_xlfn.XLOOKUP(A481,[1]Fleet!A:A,[1]Fleet!E:E,""),"")</f>
        <v>3</v>
      </c>
      <c r="L481" s="188">
        <v>48.95</v>
      </c>
      <c r="M481" s="188" t="s">
        <v>1020</v>
      </c>
      <c r="N481" s="188" t="s">
        <v>1006</v>
      </c>
      <c r="O481">
        <v>468</v>
      </c>
      <c r="P481">
        <f>_xlfn.XLOOKUP(A481,'[1]Classic Net to delete'!D:D,'[1]Classic Net to delete'!AA:AA,0)</f>
        <v>584</v>
      </c>
    </row>
    <row r="482" spans="1:16" x14ac:dyDescent="0.25">
      <c r="A482" t="s">
        <v>1015</v>
      </c>
      <c r="B482" t="s">
        <v>1016</v>
      </c>
      <c r="C482">
        <v>59.97</v>
      </c>
      <c r="D482" t="s">
        <v>976</v>
      </c>
      <c r="E482" t="str">
        <f>CONCATENATE(J482,". ",N482)</f>
        <v>02. Impact and Screwdrivers</v>
      </c>
      <c r="F482">
        <v>75</v>
      </c>
      <c r="G482" t="b">
        <v>1</v>
      </c>
      <c r="H482">
        <v>585</v>
      </c>
      <c r="J482" s="193" t="s">
        <v>189</v>
      </c>
      <c r="K482" s="188">
        <f>IFERROR(_xlfn.XLOOKUP(A482,[1]Fleet!A:A,[1]Fleet!E:E,""),"")</f>
        <v>20</v>
      </c>
      <c r="L482" s="188">
        <v>56.050000000000004</v>
      </c>
      <c r="M482" s="188" t="s">
        <v>1017</v>
      </c>
      <c r="N482" s="188" t="s">
        <v>1006</v>
      </c>
      <c r="O482">
        <v>469</v>
      </c>
      <c r="P482">
        <f>_xlfn.XLOOKUP(A482,'[1]Classic Net to delete'!D:D,'[1]Classic Net to delete'!AA:AA,0)</f>
        <v>585</v>
      </c>
    </row>
    <row r="483" spans="1:16" x14ac:dyDescent="0.25">
      <c r="A483" t="s">
        <v>1038</v>
      </c>
      <c r="B483" t="s">
        <v>1039</v>
      </c>
      <c r="C483">
        <v>69.92</v>
      </c>
      <c r="D483" t="s">
        <v>976</v>
      </c>
      <c r="E483" t="str">
        <f>CONCATENATE(J483,". ",N483)</f>
        <v>02. Impact and Screwdrivers</v>
      </c>
      <c r="F483">
        <v>75</v>
      </c>
      <c r="G483" t="b">
        <v>1</v>
      </c>
      <c r="H483">
        <v>586</v>
      </c>
      <c r="J483" s="193" t="s">
        <v>189</v>
      </c>
      <c r="K483" s="188">
        <f>IFERROR(_xlfn.XLOOKUP(A483,[1]Fleet!A:A,[1]Fleet!E:E,""),"")</f>
        <v>7</v>
      </c>
      <c r="L483" s="188">
        <v>65.350000000000009</v>
      </c>
      <c r="M483" s="188" t="s">
        <v>1040</v>
      </c>
      <c r="N483" s="188" t="s">
        <v>1006</v>
      </c>
      <c r="O483">
        <v>471</v>
      </c>
      <c r="P483">
        <f>_xlfn.XLOOKUP(A483,'[1]Classic Net to delete'!D:D,'[1]Classic Net to delete'!AA:AA,0)</f>
        <v>586</v>
      </c>
    </row>
    <row r="484" spans="1:16" x14ac:dyDescent="0.25">
      <c r="A484" t="s">
        <v>1021</v>
      </c>
      <c r="B484" t="s">
        <v>1022</v>
      </c>
      <c r="C484">
        <v>38.200000000000003</v>
      </c>
      <c r="D484" t="s">
        <v>976</v>
      </c>
      <c r="E484" t="str">
        <f>CONCATENATE(J484,". ",N484)</f>
        <v>02. Impact and Screwdrivers</v>
      </c>
      <c r="F484">
        <v>75</v>
      </c>
      <c r="G484" t="b">
        <v>1</v>
      </c>
      <c r="H484">
        <v>587</v>
      </c>
      <c r="J484" s="193" t="s">
        <v>189</v>
      </c>
      <c r="K484" s="188">
        <f>IFERROR(_xlfn.XLOOKUP(A484,[1]Fleet!A:A,[1]Fleet!E:E,""),"")</f>
        <v>5</v>
      </c>
      <c r="L484" s="188">
        <v>35.700000000000003</v>
      </c>
      <c r="M484" s="188" t="s">
        <v>1023</v>
      </c>
      <c r="N484" s="188" t="s">
        <v>1006</v>
      </c>
      <c r="O484">
        <v>463</v>
      </c>
      <c r="P484">
        <f>_xlfn.XLOOKUP(A484,'[1]Classic Net to delete'!D:D,'[1]Classic Net to delete'!AA:AA,0)</f>
        <v>587</v>
      </c>
    </row>
    <row r="485" spans="1:16" x14ac:dyDescent="0.25">
      <c r="A485" t="s">
        <v>1041</v>
      </c>
      <c r="B485" t="s">
        <v>1042</v>
      </c>
      <c r="C485">
        <v>73.19</v>
      </c>
      <c r="D485" t="s">
        <v>976</v>
      </c>
      <c r="E485" t="str">
        <f>CONCATENATE(J485,". ",N485)</f>
        <v>02. Impact and Screwdrivers</v>
      </c>
      <c r="F485">
        <v>75</v>
      </c>
      <c r="G485" t="b">
        <v>1</v>
      </c>
      <c r="H485">
        <v>588</v>
      </c>
      <c r="J485" s="193" t="s">
        <v>189</v>
      </c>
      <c r="K485" s="188">
        <f>IFERROR(_xlfn.XLOOKUP(A485,[1]Fleet!A:A,[1]Fleet!E:E,""),"")</f>
        <v>11</v>
      </c>
      <c r="L485" s="188">
        <v>68.400000000000006</v>
      </c>
      <c r="M485" s="188" t="s">
        <v>1043</v>
      </c>
      <c r="N485" s="188" t="s">
        <v>1006</v>
      </c>
      <c r="O485">
        <v>472</v>
      </c>
      <c r="P485">
        <f>_xlfn.XLOOKUP(A485,'[1]Classic Net to delete'!D:D,'[1]Classic Net to delete'!AA:AA,0)</f>
        <v>588</v>
      </c>
    </row>
    <row r="486" spans="1:16" x14ac:dyDescent="0.25">
      <c r="A486" t="s">
        <v>1026</v>
      </c>
      <c r="B486" t="s">
        <v>1027</v>
      </c>
      <c r="C486">
        <v>72.92</v>
      </c>
      <c r="D486" t="s">
        <v>976</v>
      </c>
      <c r="E486" t="str">
        <f>CONCATENATE(J486,". ",N486)</f>
        <v>02. Impact and Screwdrivers</v>
      </c>
      <c r="F486">
        <v>75</v>
      </c>
      <c r="G486" t="b">
        <v>1</v>
      </c>
      <c r="H486">
        <v>589</v>
      </c>
      <c r="J486" s="193" t="s">
        <v>189</v>
      </c>
      <c r="K486" s="188">
        <f>IFERROR(_xlfn.XLOOKUP(A486,[1]Fleet!A:A,[1]Fleet!E:E,""),"")</f>
        <v>5</v>
      </c>
      <c r="L486" s="188">
        <v>68.150000000000006</v>
      </c>
      <c r="M486" s="188" t="s">
        <v>1027</v>
      </c>
      <c r="N486" s="188" t="s">
        <v>1006</v>
      </c>
      <c r="O486">
        <v>466</v>
      </c>
      <c r="P486">
        <f>_xlfn.XLOOKUP(A486,'[1]Classic Net to delete'!D:D,'[1]Classic Net to delete'!AA:AA,0)</f>
        <v>589</v>
      </c>
    </row>
    <row r="487" spans="1:16" x14ac:dyDescent="0.25">
      <c r="A487" t="s">
        <v>656</v>
      </c>
      <c r="B487" t="s">
        <v>657</v>
      </c>
      <c r="C487">
        <v>85.12</v>
      </c>
      <c r="D487" t="s">
        <v>593</v>
      </c>
      <c r="E487" t="str">
        <f>CONCATENATE(J487,". ",N487)</f>
        <v>. Dehumidifiers</v>
      </c>
      <c r="F487">
        <v>75</v>
      </c>
      <c r="G487" t="b">
        <v>0</v>
      </c>
      <c r="H487">
        <v>0</v>
      </c>
      <c r="K487" s="188">
        <f>IFERROR(_xlfn.XLOOKUP(A487,[1]Fleet!A:A,[1]Fleet!E:E,""),"")</f>
        <v>6</v>
      </c>
      <c r="L487" s="188" t="s">
        <v>76</v>
      </c>
      <c r="M487" s="188" t="s">
        <v>76</v>
      </c>
      <c r="N487" s="188" t="s">
        <v>658</v>
      </c>
      <c r="O487">
        <v>497</v>
      </c>
      <c r="P487">
        <f>_xlfn.XLOOKUP(A487,'[1]Classic Net to delete'!D:D,'[1]Classic Net to delete'!AA:AA,0)</f>
        <v>0</v>
      </c>
    </row>
    <row r="488" spans="1:16" x14ac:dyDescent="0.25">
      <c r="A488" t="s">
        <v>689</v>
      </c>
      <c r="B488" t="s">
        <v>690</v>
      </c>
      <c r="C488">
        <v>38.200000000000003</v>
      </c>
      <c r="D488" t="s">
        <v>593</v>
      </c>
      <c r="E488" t="str">
        <f>CONCATENATE(J488,". ",N488)</f>
        <v>. Heaters</v>
      </c>
      <c r="F488">
        <v>75</v>
      </c>
      <c r="G488" t="b">
        <v>0</v>
      </c>
      <c r="H488">
        <v>0</v>
      </c>
      <c r="K488" s="188">
        <f>IFERROR(_xlfn.XLOOKUP(A488,[1]Fleet!A:A,[1]Fleet!E:E,""),"")</f>
        <v>40</v>
      </c>
      <c r="L488" s="188" t="s">
        <v>76</v>
      </c>
      <c r="M488" s="188" t="s">
        <v>76</v>
      </c>
      <c r="N488" s="188" t="s">
        <v>691</v>
      </c>
      <c r="O488">
        <v>504</v>
      </c>
      <c r="P488">
        <f>_xlfn.XLOOKUP(A488,'[1]Classic Net to delete'!D:D,'[1]Classic Net to delete'!AA:AA,0)</f>
        <v>0</v>
      </c>
    </row>
    <row r="489" spans="1:16" x14ac:dyDescent="0.25">
      <c r="A489" t="s">
        <v>694</v>
      </c>
      <c r="B489" t="s">
        <v>695</v>
      </c>
      <c r="C489">
        <v>70.989999999999995</v>
      </c>
      <c r="D489" t="s">
        <v>593</v>
      </c>
      <c r="E489" t="str">
        <f>CONCATENATE(J489,". ",N489)</f>
        <v>. Heaters</v>
      </c>
      <c r="F489">
        <v>75</v>
      </c>
      <c r="G489" t="b">
        <v>0</v>
      </c>
      <c r="H489">
        <v>0</v>
      </c>
      <c r="K489" s="188">
        <f>IFERROR(_xlfn.XLOOKUP(A489,[1]Fleet!A:A,[1]Fleet!E:E,""),"")</f>
        <v>2</v>
      </c>
      <c r="L489" s="188" t="s">
        <v>76</v>
      </c>
      <c r="M489" s="188" t="s">
        <v>76</v>
      </c>
      <c r="N489" s="188" t="s">
        <v>691</v>
      </c>
      <c r="O489">
        <v>505</v>
      </c>
      <c r="P489">
        <f>_xlfn.XLOOKUP(A489,'[1]Classic Net to delete'!D:D,'[1]Classic Net to delete'!AA:AA,0)</f>
        <v>0</v>
      </c>
    </row>
    <row r="490" spans="1:16" x14ac:dyDescent="0.25">
      <c r="A490" t="s">
        <v>699</v>
      </c>
      <c r="B490" t="s">
        <v>700</v>
      </c>
      <c r="C490">
        <v>109.14</v>
      </c>
      <c r="D490" t="s">
        <v>593</v>
      </c>
      <c r="E490" t="str">
        <f>CONCATENATE(J490,". ",N490)</f>
        <v>. Heaters</v>
      </c>
      <c r="F490">
        <v>75</v>
      </c>
      <c r="G490" t="b">
        <v>0</v>
      </c>
      <c r="H490">
        <v>0</v>
      </c>
      <c r="K490" s="188">
        <f>IFERROR(_xlfn.XLOOKUP(A490,[1]Fleet!A:A,[1]Fleet!E:E,""),"")</f>
        <v>11</v>
      </c>
      <c r="L490" s="188" t="s">
        <v>76</v>
      </c>
      <c r="M490" s="188" t="s">
        <v>76</v>
      </c>
      <c r="N490" s="188" t="s">
        <v>691</v>
      </c>
      <c r="O490">
        <v>507</v>
      </c>
      <c r="P490">
        <f>_xlfn.XLOOKUP(A490,'[1]Classic Net to delete'!D:D,'[1]Classic Net to delete'!AA:AA,0)</f>
        <v>0</v>
      </c>
    </row>
    <row r="491" spans="1:16" x14ac:dyDescent="0.25">
      <c r="A491" t="s">
        <v>701</v>
      </c>
      <c r="B491" t="s">
        <v>702</v>
      </c>
      <c r="C491">
        <v>143.27000000000001</v>
      </c>
      <c r="D491" t="s">
        <v>593</v>
      </c>
      <c r="E491" t="str">
        <f>CONCATENATE(J491,". ",N491)</f>
        <v>. Heaters</v>
      </c>
      <c r="F491">
        <v>75</v>
      </c>
      <c r="G491" t="b">
        <v>0</v>
      </c>
      <c r="H491">
        <v>0</v>
      </c>
      <c r="K491" s="188">
        <f>IFERROR(_xlfn.XLOOKUP(A491,[1]Fleet!A:A,[1]Fleet!E:E,""),"")</f>
        <v>6</v>
      </c>
      <c r="L491" s="188" t="s">
        <v>76</v>
      </c>
      <c r="M491" s="188" t="s">
        <v>76</v>
      </c>
      <c r="N491" s="188" t="s">
        <v>691</v>
      </c>
      <c r="O491">
        <v>513</v>
      </c>
      <c r="P491">
        <f>_xlfn.XLOOKUP(A491,'[1]Classic Net to delete'!D:D,'[1]Classic Net to delete'!AA:AA,0)</f>
        <v>0</v>
      </c>
    </row>
    <row r="492" spans="1:16" x14ac:dyDescent="0.25">
      <c r="A492" t="s">
        <v>709</v>
      </c>
      <c r="B492" t="s">
        <v>710</v>
      </c>
      <c r="C492">
        <v>65.38</v>
      </c>
      <c r="D492" t="s">
        <v>593</v>
      </c>
      <c r="E492" t="str">
        <f>CONCATENATE(J492,". ",N492)</f>
        <v>. Heaters</v>
      </c>
      <c r="F492">
        <v>75</v>
      </c>
      <c r="G492" t="b">
        <v>0</v>
      </c>
      <c r="H492">
        <v>0</v>
      </c>
      <c r="K492" s="188">
        <f>IFERROR(_xlfn.XLOOKUP(A492,[1]Fleet!A:A,[1]Fleet!E:E,""),"")</f>
        <v>64</v>
      </c>
      <c r="L492" s="188" t="s">
        <v>76</v>
      </c>
      <c r="M492" s="188" t="s">
        <v>76</v>
      </c>
      <c r="N492" s="188" t="s">
        <v>691</v>
      </c>
      <c r="O492">
        <v>509</v>
      </c>
      <c r="P492">
        <f>_xlfn.XLOOKUP(A492,'[1]Classic Net to delete'!D:D,'[1]Classic Net to delete'!AA:AA,0)</f>
        <v>0</v>
      </c>
    </row>
    <row r="493" spans="1:16" x14ac:dyDescent="0.25">
      <c r="A493" t="s">
        <v>714</v>
      </c>
      <c r="B493" t="s">
        <v>715</v>
      </c>
      <c r="C493">
        <v>0</v>
      </c>
      <c r="D493" t="s">
        <v>593</v>
      </c>
      <c r="E493" t="str">
        <f>CONCATENATE(J493,". ",N493)</f>
        <v>. Heaters</v>
      </c>
      <c r="F493">
        <v>75</v>
      </c>
      <c r="G493" t="b">
        <v>0</v>
      </c>
      <c r="H493">
        <v>0</v>
      </c>
      <c r="K493" s="188" t="str">
        <f>IFERROR(_xlfn.XLOOKUP(A493,[1]Fleet!A:A,[1]Fleet!E:E,""),"")</f>
        <v/>
      </c>
      <c r="L493" s="188" t="s">
        <v>76</v>
      </c>
      <c r="M493" s="188" t="s">
        <v>76</v>
      </c>
      <c r="N493" s="188" t="s">
        <v>691</v>
      </c>
      <c r="O493">
        <v>514</v>
      </c>
      <c r="P493">
        <f>_xlfn.XLOOKUP(A493,'[1]Classic Net to delete'!D:D,'[1]Classic Net to delete'!AA:AA,0)</f>
        <v>0</v>
      </c>
    </row>
    <row r="494" spans="1:16" x14ac:dyDescent="0.25">
      <c r="A494" t="s">
        <v>696</v>
      </c>
      <c r="B494" t="s">
        <v>697</v>
      </c>
      <c r="C494">
        <v>70.989999999999995</v>
      </c>
      <c r="D494" t="s">
        <v>593</v>
      </c>
      <c r="E494" t="str">
        <f>CONCATENATE(J494,". ",N494)</f>
        <v>01. Space Heaters</v>
      </c>
      <c r="F494">
        <v>75</v>
      </c>
      <c r="G494" t="b">
        <v>1</v>
      </c>
      <c r="H494">
        <v>376</v>
      </c>
      <c r="J494" s="193" t="s">
        <v>20</v>
      </c>
      <c r="K494" s="188">
        <f>IFERROR(_xlfn.XLOOKUP(A494,[1]Fleet!A:A,[1]Fleet!E:E,""),"")</f>
        <v>45</v>
      </c>
      <c r="L494" s="188">
        <v>66.350000000000009</v>
      </c>
      <c r="M494" s="188" t="s">
        <v>698</v>
      </c>
      <c r="N494" s="188" t="s">
        <v>681</v>
      </c>
      <c r="O494">
        <v>506</v>
      </c>
      <c r="P494">
        <f>_xlfn.XLOOKUP(A494,'[1]Classic Net to delete'!D:D,'[1]Classic Net to delete'!AA:AA,0)</f>
        <v>376</v>
      </c>
    </row>
    <row r="495" spans="1:16" x14ac:dyDescent="0.25">
      <c r="A495" t="s">
        <v>682</v>
      </c>
      <c r="B495" t="s">
        <v>683</v>
      </c>
      <c r="C495">
        <v>52.38</v>
      </c>
      <c r="D495" t="s">
        <v>593</v>
      </c>
      <c r="E495" t="str">
        <f>CONCATENATE(J495,". ",N495)</f>
        <v>01. Space Heaters</v>
      </c>
      <c r="F495">
        <v>75</v>
      </c>
      <c r="G495" t="b">
        <v>1</v>
      </c>
      <c r="H495">
        <v>377</v>
      </c>
      <c r="J495" s="193" t="s">
        <v>20</v>
      </c>
      <c r="K495" s="188">
        <f>IFERROR(_xlfn.XLOOKUP(A495,[1]Fleet!A:A,[1]Fleet!E:E,""),"")</f>
        <v>15</v>
      </c>
      <c r="L495" s="188">
        <v>48.95</v>
      </c>
      <c r="M495" s="188" t="s">
        <v>683</v>
      </c>
      <c r="N495" s="188" t="s">
        <v>681</v>
      </c>
      <c r="O495">
        <v>501</v>
      </c>
      <c r="P495">
        <f>_xlfn.XLOOKUP(A495,'[1]Classic Net to delete'!D:D,'[1]Classic Net to delete'!AA:AA,0)</f>
        <v>377</v>
      </c>
    </row>
    <row r="496" spans="1:16" x14ac:dyDescent="0.25">
      <c r="A496" t="s">
        <v>678</v>
      </c>
      <c r="B496" t="s">
        <v>679</v>
      </c>
      <c r="C496">
        <v>23.97</v>
      </c>
      <c r="D496" t="s">
        <v>593</v>
      </c>
      <c r="E496" t="str">
        <f>CONCATENATE(J496,". ",N496)</f>
        <v>01. Space Heaters</v>
      </c>
      <c r="F496">
        <v>75</v>
      </c>
      <c r="G496" t="b">
        <v>1</v>
      </c>
      <c r="H496">
        <v>378</v>
      </c>
      <c r="J496" s="193" t="s">
        <v>20</v>
      </c>
      <c r="K496" s="188">
        <f>IFERROR(_xlfn.XLOOKUP(A496,[1]Fleet!A:A,[1]Fleet!E:E,""),"")</f>
        <v>17</v>
      </c>
      <c r="L496" s="188">
        <v>22.400000000000002</v>
      </c>
      <c r="M496" s="188" t="s">
        <v>680</v>
      </c>
      <c r="N496" s="188" t="s">
        <v>681</v>
      </c>
      <c r="O496">
        <v>500</v>
      </c>
      <c r="P496">
        <f>_xlfn.XLOOKUP(A496,'[1]Classic Net to delete'!D:D,'[1]Classic Net to delete'!AA:AA,0)</f>
        <v>378</v>
      </c>
    </row>
    <row r="497" spans="1:16" x14ac:dyDescent="0.25">
      <c r="A497" t="s">
        <v>711</v>
      </c>
      <c r="B497" t="s">
        <v>712</v>
      </c>
      <c r="C497">
        <v>238.08</v>
      </c>
      <c r="D497" t="s">
        <v>593</v>
      </c>
      <c r="E497" t="str">
        <f>CONCATENATE(J497,". ",N497)</f>
        <v>01. Space Heaters</v>
      </c>
      <c r="F497">
        <v>75</v>
      </c>
      <c r="G497" t="b">
        <v>1</v>
      </c>
      <c r="H497">
        <v>390</v>
      </c>
      <c r="J497" s="193" t="s">
        <v>20</v>
      </c>
      <c r="K497" s="188">
        <f>IFERROR(_xlfn.XLOOKUP(A497,[1]Fleet!A:A,[1]Fleet!E:E,""),"")</f>
        <v>11</v>
      </c>
      <c r="L497" s="188">
        <v>222.5</v>
      </c>
      <c r="M497" s="188" t="s">
        <v>713</v>
      </c>
      <c r="N497" s="188" t="s">
        <v>681</v>
      </c>
      <c r="O497">
        <v>512</v>
      </c>
      <c r="P497">
        <f>_xlfn.XLOOKUP(A497,'[1]Classic Net to delete'!D:D,'[1]Classic Net to delete'!AA:AA,0)</f>
        <v>390</v>
      </c>
    </row>
    <row r="498" spans="1:16" x14ac:dyDescent="0.25">
      <c r="A498" t="s">
        <v>703</v>
      </c>
      <c r="B498" t="s">
        <v>704</v>
      </c>
      <c r="C498">
        <v>52.38</v>
      </c>
      <c r="D498" t="s">
        <v>593</v>
      </c>
      <c r="E498" t="str">
        <f>CONCATENATE(J498,". ",N498)</f>
        <v>02. Electric Heaters</v>
      </c>
      <c r="F498">
        <v>75</v>
      </c>
      <c r="G498" t="b">
        <v>1</v>
      </c>
      <c r="H498">
        <v>382</v>
      </c>
      <c r="J498" s="193" t="s">
        <v>189</v>
      </c>
      <c r="K498" s="188">
        <f>IFERROR(_xlfn.XLOOKUP(A498,[1]Fleet!A:A,[1]Fleet!E:E,""),"")</f>
        <v>30</v>
      </c>
      <c r="L498" s="188">
        <v>48.95</v>
      </c>
      <c r="M498" s="188" t="s">
        <v>705</v>
      </c>
      <c r="N498" s="188" t="s">
        <v>677</v>
      </c>
      <c r="O498">
        <v>511</v>
      </c>
      <c r="P498">
        <f>_xlfn.XLOOKUP(A498,'[1]Classic Net to delete'!D:D,'[1]Classic Net to delete'!AA:AA,0)</f>
        <v>382</v>
      </c>
    </row>
    <row r="499" spans="1:16" x14ac:dyDescent="0.25">
      <c r="A499" t="s">
        <v>706</v>
      </c>
      <c r="B499" t="s">
        <v>707</v>
      </c>
      <c r="C499">
        <v>65.38</v>
      </c>
      <c r="D499" t="s">
        <v>593</v>
      </c>
      <c r="E499" t="str">
        <f>CONCATENATE(J499,". ",N499)</f>
        <v>02. Electric Heaters</v>
      </c>
      <c r="F499">
        <v>75</v>
      </c>
      <c r="G499" t="b">
        <v>1</v>
      </c>
      <c r="H499">
        <v>383</v>
      </c>
      <c r="J499" s="193" t="s">
        <v>189</v>
      </c>
      <c r="K499" s="188">
        <f>IFERROR(_xlfn.XLOOKUP(A499,[1]Fleet!A:A,[1]Fleet!E:E,""),"")</f>
        <v>228</v>
      </c>
      <c r="L499" s="188">
        <v>61.1</v>
      </c>
      <c r="M499" s="188" t="s">
        <v>708</v>
      </c>
      <c r="N499" s="188" t="s">
        <v>677</v>
      </c>
      <c r="O499">
        <v>508</v>
      </c>
      <c r="P499">
        <f>_xlfn.XLOOKUP(A499,'[1]Classic Net to delete'!D:D,'[1]Classic Net to delete'!AA:AA,0)</f>
        <v>383</v>
      </c>
    </row>
    <row r="500" spans="1:16" x14ac:dyDescent="0.25">
      <c r="A500" t="s">
        <v>686</v>
      </c>
      <c r="B500" t="s">
        <v>687</v>
      </c>
      <c r="C500">
        <v>38.200000000000003</v>
      </c>
      <c r="D500" t="s">
        <v>593</v>
      </c>
      <c r="E500" t="str">
        <f>CONCATENATE(J500,". ",N500)</f>
        <v>02. Electric Heaters</v>
      </c>
      <c r="F500">
        <v>75</v>
      </c>
      <c r="G500" t="b">
        <v>1</v>
      </c>
      <c r="H500">
        <v>384</v>
      </c>
      <c r="J500" s="193" t="s">
        <v>189</v>
      </c>
      <c r="K500" s="188">
        <f>IFERROR(_xlfn.XLOOKUP(A500,[1]Fleet!A:A,[1]Fleet!E:E,""),"")</f>
        <v>149</v>
      </c>
      <c r="L500" s="188">
        <v>35.700000000000003</v>
      </c>
      <c r="M500" s="188" t="s">
        <v>688</v>
      </c>
      <c r="N500" s="188" t="s">
        <v>677</v>
      </c>
      <c r="O500">
        <v>503</v>
      </c>
      <c r="P500">
        <f>_xlfn.XLOOKUP(A500,'[1]Classic Net to delete'!D:D,'[1]Classic Net to delete'!AA:AA,0)</f>
        <v>384</v>
      </c>
    </row>
    <row r="501" spans="1:16" x14ac:dyDescent="0.25">
      <c r="A501" t="s">
        <v>692</v>
      </c>
      <c r="B501" t="s">
        <v>693</v>
      </c>
      <c r="C501">
        <v>112.3</v>
      </c>
      <c r="D501" t="s">
        <v>593</v>
      </c>
      <c r="E501" t="str">
        <f>CONCATENATE(J501,". ",N501)</f>
        <v>02. Electric Heaters</v>
      </c>
      <c r="F501">
        <v>75</v>
      </c>
      <c r="G501" t="b">
        <v>1</v>
      </c>
      <c r="H501">
        <v>385</v>
      </c>
      <c r="J501" s="193" t="s">
        <v>189</v>
      </c>
      <c r="K501" s="188">
        <f>IFERROR(_xlfn.XLOOKUP(A501,[1]Fleet!A:A,[1]Fleet!E:E,""),"")</f>
        <v>17</v>
      </c>
      <c r="L501" s="188">
        <v>104.95</v>
      </c>
      <c r="M501" s="188" t="s">
        <v>693</v>
      </c>
      <c r="N501" s="188" t="s">
        <v>677</v>
      </c>
      <c r="O501">
        <v>510</v>
      </c>
      <c r="P501">
        <f>_xlfn.XLOOKUP(A501,'[1]Classic Net to delete'!D:D,'[1]Classic Net to delete'!AA:AA,0)</f>
        <v>385</v>
      </c>
    </row>
    <row r="502" spans="1:16" x14ac:dyDescent="0.25">
      <c r="A502" t="s">
        <v>675</v>
      </c>
      <c r="B502" t="s">
        <v>676</v>
      </c>
      <c r="C502">
        <v>18.03</v>
      </c>
      <c r="D502" t="s">
        <v>593</v>
      </c>
      <c r="E502" t="str">
        <f>CONCATENATE(J502,". ",N502)</f>
        <v>02. Electric Heaters</v>
      </c>
      <c r="F502">
        <v>75</v>
      </c>
      <c r="G502" t="b">
        <v>1</v>
      </c>
      <c r="H502">
        <v>386</v>
      </c>
      <c r="J502" s="193" t="s">
        <v>189</v>
      </c>
      <c r="K502" s="188">
        <f>IFERROR(_xlfn.XLOOKUP(A502,[1]Fleet!A:A,[1]Fleet!E:E,""),"")</f>
        <v>2</v>
      </c>
      <c r="L502" s="188">
        <v>16.850000000000001</v>
      </c>
      <c r="M502" s="188" t="s">
        <v>676</v>
      </c>
      <c r="N502" s="188" t="s">
        <v>677</v>
      </c>
      <c r="O502">
        <v>499</v>
      </c>
      <c r="P502">
        <f>_xlfn.XLOOKUP(A502,'[1]Classic Net to delete'!D:D,'[1]Classic Net to delete'!AA:AA,0)</f>
        <v>386</v>
      </c>
    </row>
    <row r="503" spans="1:16" x14ac:dyDescent="0.25">
      <c r="A503" t="s">
        <v>684</v>
      </c>
      <c r="B503" t="s">
        <v>685</v>
      </c>
      <c r="C503">
        <v>18.03</v>
      </c>
      <c r="D503" t="s">
        <v>593</v>
      </c>
      <c r="E503" t="str">
        <f>CONCATENATE(J503,". ",N503)</f>
        <v>02. Electric Heaters</v>
      </c>
      <c r="F503">
        <v>75</v>
      </c>
      <c r="G503" t="b">
        <v>1</v>
      </c>
      <c r="H503">
        <v>387</v>
      </c>
      <c r="J503" s="193" t="s">
        <v>189</v>
      </c>
      <c r="K503" s="188">
        <f>IFERROR(_xlfn.XLOOKUP(A503,[1]Fleet!A:A,[1]Fleet!E:E,""),"")</f>
        <v>249</v>
      </c>
      <c r="L503" s="188">
        <v>16.850000000000001</v>
      </c>
      <c r="M503" s="188" t="s">
        <v>685</v>
      </c>
      <c r="N503" s="188" t="s">
        <v>677</v>
      </c>
      <c r="O503">
        <v>502</v>
      </c>
      <c r="P503">
        <f>_xlfn.XLOOKUP(A503,'[1]Classic Net to delete'!D:D,'[1]Classic Net to delete'!AA:AA,0)</f>
        <v>387</v>
      </c>
    </row>
    <row r="504" spans="1:16" x14ac:dyDescent="0.25">
      <c r="A504" t="s">
        <v>648</v>
      </c>
      <c r="B504" t="s">
        <v>649</v>
      </c>
      <c r="C504">
        <v>126.21000000000001</v>
      </c>
      <c r="D504" t="s">
        <v>593</v>
      </c>
      <c r="E504" t="str">
        <f>CONCATENATE(J504,". ",N504)</f>
        <v>03. Cooling</v>
      </c>
      <c r="F504">
        <v>75</v>
      </c>
      <c r="G504" t="b">
        <v>1</v>
      </c>
      <c r="H504">
        <v>393</v>
      </c>
      <c r="J504" s="193" t="s">
        <v>188</v>
      </c>
      <c r="K504" s="188">
        <f>IFERROR(_xlfn.XLOOKUP(A504,[1]Fleet!A:A,[1]Fleet!E:E,""),"")</f>
        <v>117</v>
      </c>
      <c r="L504" s="188">
        <v>117.95</v>
      </c>
      <c r="M504" s="188" t="s">
        <v>649</v>
      </c>
      <c r="N504" s="188" t="s">
        <v>650</v>
      </c>
      <c r="O504">
        <v>487</v>
      </c>
      <c r="P504">
        <f>_xlfn.XLOOKUP(A504,'[1]Classic Net to delete'!D:D,'[1]Classic Net to delete'!AA:AA,0)</f>
        <v>393</v>
      </c>
    </row>
    <row r="505" spans="1:16" x14ac:dyDescent="0.25">
      <c r="A505" t="s">
        <v>665</v>
      </c>
      <c r="B505" t="s">
        <v>666</v>
      </c>
      <c r="C505">
        <v>25.57</v>
      </c>
      <c r="D505" t="s">
        <v>593</v>
      </c>
      <c r="E505" t="str">
        <f>CONCATENATE(J505,". ",N505)</f>
        <v>03. Cooling</v>
      </c>
      <c r="F505">
        <v>75</v>
      </c>
      <c r="G505" t="b">
        <v>1</v>
      </c>
      <c r="H505">
        <v>394</v>
      </c>
      <c r="J505" s="193" t="s">
        <v>188</v>
      </c>
      <c r="K505" s="188">
        <f>IFERROR(_xlfn.XLOOKUP(A505,[1]Fleet!A:A,[1]Fleet!E:E,""),"")</f>
        <v>25</v>
      </c>
      <c r="L505" s="188">
        <v>23.900000000000002</v>
      </c>
      <c r="M505" s="188" t="s">
        <v>666</v>
      </c>
      <c r="N505" s="188" t="s">
        <v>650</v>
      </c>
      <c r="O505">
        <v>489</v>
      </c>
      <c r="P505">
        <f>_xlfn.XLOOKUP(A505,'[1]Classic Net to delete'!D:D,'[1]Classic Net to delete'!AA:AA,0)</f>
        <v>394</v>
      </c>
    </row>
    <row r="506" spans="1:16" x14ac:dyDescent="0.25">
      <c r="A506" t="s">
        <v>667</v>
      </c>
      <c r="B506" t="s">
        <v>668</v>
      </c>
      <c r="C506">
        <v>38.200000000000003</v>
      </c>
      <c r="D506" t="s">
        <v>593</v>
      </c>
      <c r="E506" t="str">
        <f>CONCATENATE(J506,". ",N506)</f>
        <v>03. Cooling</v>
      </c>
      <c r="F506">
        <v>75</v>
      </c>
      <c r="G506" t="b">
        <v>1</v>
      </c>
      <c r="H506">
        <v>395</v>
      </c>
      <c r="J506" s="193" t="s">
        <v>188</v>
      </c>
      <c r="K506" s="188">
        <f>IFERROR(_xlfn.XLOOKUP(A506,[1]Fleet!A:A,[1]Fleet!E:E,""),"")</f>
        <v>1</v>
      </c>
      <c r="L506" s="188">
        <v>35.700000000000003</v>
      </c>
      <c r="M506" s="188" t="s">
        <v>668</v>
      </c>
      <c r="N506" s="188" t="s">
        <v>650</v>
      </c>
      <c r="O506">
        <v>490</v>
      </c>
      <c r="P506">
        <f>_xlfn.XLOOKUP(A506,'[1]Classic Net to delete'!D:D,'[1]Classic Net to delete'!AA:AA,0)</f>
        <v>395</v>
      </c>
    </row>
    <row r="507" spans="1:16" x14ac:dyDescent="0.25">
      <c r="A507" t="s">
        <v>669</v>
      </c>
      <c r="B507" t="s">
        <v>670</v>
      </c>
      <c r="C507">
        <v>76.67</v>
      </c>
      <c r="D507" t="s">
        <v>593</v>
      </c>
      <c r="E507" t="str">
        <f>CONCATENATE(J507,". ",N507)</f>
        <v>03. Cooling</v>
      </c>
      <c r="F507">
        <v>75</v>
      </c>
      <c r="G507" t="b">
        <v>1</v>
      </c>
      <c r="H507">
        <v>396</v>
      </c>
      <c r="J507" s="193" t="s">
        <v>188</v>
      </c>
      <c r="K507" s="188">
        <f>IFERROR(_xlfn.XLOOKUP(A507,[1]Fleet!A:A,[1]Fleet!E:E,""),"")</f>
        <v>64</v>
      </c>
      <c r="L507" s="188">
        <v>71.650000000000006</v>
      </c>
      <c r="M507" s="188" t="s">
        <v>671</v>
      </c>
      <c r="N507" s="188" t="s">
        <v>650</v>
      </c>
      <c r="O507">
        <v>491</v>
      </c>
      <c r="P507">
        <f>_xlfn.XLOOKUP(A507,'[1]Classic Net to delete'!D:D,'[1]Classic Net to delete'!AA:AA,0)</f>
        <v>396</v>
      </c>
    </row>
    <row r="508" spans="1:16" x14ac:dyDescent="0.25">
      <c r="A508" t="s">
        <v>672</v>
      </c>
      <c r="B508" t="s">
        <v>673</v>
      </c>
      <c r="C508">
        <v>79.180000000000007</v>
      </c>
      <c r="D508" t="s">
        <v>593</v>
      </c>
      <c r="E508" t="str">
        <f>CONCATENATE(J508,". ",N508)</f>
        <v>03. Cooling</v>
      </c>
      <c r="F508">
        <v>75</v>
      </c>
      <c r="G508" t="b">
        <v>1</v>
      </c>
      <c r="H508">
        <v>397</v>
      </c>
      <c r="J508" s="193" t="s">
        <v>188</v>
      </c>
      <c r="K508" s="188">
        <f>IFERROR(_xlfn.XLOOKUP(A508,[1]Fleet!A:A,[1]Fleet!E:E,""),"")</f>
        <v>3</v>
      </c>
      <c r="L508" s="188">
        <v>74</v>
      </c>
      <c r="M508" s="188" t="s">
        <v>674</v>
      </c>
      <c r="N508" s="188" t="s">
        <v>650</v>
      </c>
      <c r="O508">
        <v>492</v>
      </c>
      <c r="P508">
        <f>_xlfn.XLOOKUP(A508,'[1]Classic Net to delete'!D:D,'[1]Classic Net to delete'!AA:AA,0)</f>
        <v>397</v>
      </c>
    </row>
    <row r="509" spans="1:16" x14ac:dyDescent="0.25">
      <c r="A509" t="s">
        <v>651</v>
      </c>
      <c r="B509" t="s">
        <v>652</v>
      </c>
      <c r="C509">
        <v>104.7</v>
      </c>
      <c r="D509" t="s">
        <v>593</v>
      </c>
      <c r="E509" t="str">
        <f>CONCATENATE(J509,". ",N509)</f>
        <v>03. Cooling</v>
      </c>
      <c r="F509">
        <v>75</v>
      </c>
      <c r="G509" t="b">
        <v>1</v>
      </c>
      <c r="H509">
        <v>398</v>
      </c>
      <c r="J509" s="193" t="s">
        <v>188</v>
      </c>
      <c r="K509" s="188">
        <f>IFERROR(_xlfn.XLOOKUP(A509,[1]Fleet!A:A,[1]Fleet!E:E,""),"")</f>
        <v>93</v>
      </c>
      <c r="L509" s="188">
        <v>97.850000000000009</v>
      </c>
      <c r="M509" s="188" t="s">
        <v>653</v>
      </c>
      <c r="N509" s="188" t="s">
        <v>650</v>
      </c>
      <c r="O509">
        <v>488</v>
      </c>
      <c r="P509">
        <f>_xlfn.XLOOKUP(A509,'[1]Classic Net to delete'!D:D,'[1]Classic Net to delete'!AA:AA,0)</f>
        <v>398</v>
      </c>
    </row>
    <row r="510" spans="1:16" x14ac:dyDescent="0.25">
      <c r="A510" t="s">
        <v>591</v>
      </c>
      <c r="B510" t="s">
        <v>592</v>
      </c>
      <c r="C510">
        <v>94.64</v>
      </c>
      <c r="D510" t="s">
        <v>593</v>
      </c>
      <c r="E510" t="str">
        <f>CONCATENATE(J510,". ",N510)</f>
        <v>04. Dehumidifiers &amp; Dryers</v>
      </c>
      <c r="F510">
        <v>75</v>
      </c>
      <c r="G510" t="b">
        <v>1</v>
      </c>
      <c r="H510">
        <v>355</v>
      </c>
      <c r="J510" s="193" t="s">
        <v>269</v>
      </c>
      <c r="K510" s="188">
        <f>IFERROR(_xlfn.XLOOKUP(A510,[1]Fleet!A:A,[1]Fleet!E:E,""),"")</f>
        <v>14</v>
      </c>
      <c r="L510" s="188">
        <v>88.45</v>
      </c>
      <c r="M510" s="188" t="s">
        <v>594</v>
      </c>
      <c r="N510" s="188" t="s">
        <v>595</v>
      </c>
      <c r="O510">
        <v>498</v>
      </c>
      <c r="P510">
        <f>_xlfn.XLOOKUP(A510,'[1]Classic Net to delete'!D:D,'[1]Classic Net to delete'!AA:AA,0)</f>
        <v>355</v>
      </c>
    </row>
    <row r="511" spans="1:16" x14ac:dyDescent="0.25">
      <c r="A511" t="s">
        <v>654</v>
      </c>
      <c r="B511" t="s">
        <v>655</v>
      </c>
      <c r="C511">
        <v>85.12</v>
      </c>
      <c r="D511" t="s">
        <v>593</v>
      </c>
      <c r="E511" t="str">
        <f>CONCATENATE(J511,". ",N511)</f>
        <v>04. Dehumidifiers &amp; Dryers</v>
      </c>
      <c r="F511">
        <v>75</v>
      </c>
      <c r="G511" t="b">
        <v>1</v>
      </c>
      <c r="H511">
        <v>401</v>
      </c>
      <c r="J511" s="193" t="s">
        <v>269</v>
      </c>
      <c r="K511" s="188">
        <f>IFERROR(_xlfn.XLOOKUP(A511,[1]Fleet!A:A,[1]Fleet!E:E,""),"")</f>
        <v>16</v>
      </c>
      <c r="L511" s="188">
        <v>79.550000000000011</v>
      </c>
      <c r="M511" s="188" t="s">
        <v>655</v>
      </c>
      <c r="N511" s="188" t="s">
        <v>595</v>
      </c>
      <c r="O511">
        <v>493</v>
      </c>
      <c r="P511">
        <f>_xlfn.XLOOKUP(A511,'[1]Classic Net to delete'!D:D,'[1]Classic Net to delete'!AA:AA,0)</f>
        <v>401</v>
      </c>
    </row>
    <row r="512" spans="1:16" x14ac:dyDescent="0.25">
      <c r="A512" t="s">
        <v>659</v>
      </c>
      <c r="B512" t="s">
        <v>660</v>
      </c>
      <c r="C512">
        <v>121.77</v>
      </c>
      <c r="D512" t="s">
        <v>593</v>
      </c>
      <c r="E512" t="str">
        <f>CONCATENATE(J512,". ",N512)</f>
        <v>04. Dehumidifiers &amp; Dryers</v>
      </c>
      <c r="F512">
        <v>75</v>
      </c>
      <c r="G512" t="b">
        <v>1</v>
      </c>
      <c r="H512">
        <v>402</v>
      </c>
      <c r="J512" s="193" t="s">
        <v>269</v>
      </c>
      <c r="K512" s="188">
        <f>IFERROR(_xlfn.XLOOKUP(A512,[1]Fleet!A:A,[1]Fleet!E:E,""),"")</f>
        <v>60</v>
      </c>
      <c r="L512" s="188">
        <v>113.80000000000001</v>
      </c>
      <c r="M512" s="188" t="s">
        <v>660</v>
      </c>
      <c r="N512" s="188" t="s">
        <v>595</v>
      </c>
      <c r="O512">
        <v>494</v>
      </c>
      <c r="P512">
        <f>_xlfn.XLOOKUP(A512,'[1]Classic Net to delete'!D:D,'[1]Classic Net to delete'!AA:AA,0)</f>
        <v>402</v>
      </c>
    </row>
    <row r="513" spans="1:16" x14ac:dyDescent="0.25">
      <c r="A513" t="s">
        <v>661</v>
      </c>
      <c r="B513" t="s">
        <v>662</v>
      </c>
      <c r="C513">
        <v>137.87</v>
      </c>
      <c r="D513" t="s">
        <v>593</v>
      </c>
      <c r="E513" t="str">
        <f>CONCATENATE(J513,". ",N513)</f>
        <v>04. Dehumidifiers &amp; Dryers</v>
      </c>
      <c r="F513">
        <v>75</v>
      </c>
      <c r="G513" t="b">
        <v>1</v>
      </c>
      <c r="H513">
        <v>403</v>
      </c>
      <c r="J513" s="193" t="s">
        <v>269</v>
      </c>
      <c r="K513" s="188">
        <f>IFERROR(_xlfn.XLOOKUP(A513,[1]Fleet!A:A,[1]Fleet!E:E,""),"")</f>
        <v>83</v>
      </c>
      <c r="L513" s="188">
        <v>128.85</v>
      </c>
      <c r="M513" s="188" t="s">
        <v>662</v>
      </c>
      <c r="N513" s="188" t="s">
        <v>595</v>
      </c>
      <c r="O513">
        <v>496</v>
      </c>
      <c r="P513">
        <f>_xlfn.XLOOKUP(A513,'[1]Classic Net to delete'!D:D,'[1]Classic Net to delete'!AA:AA,0)</f>
        <v>403</v>
      </c>
    </row>
    <row r="514" spans="1:16" x14ac:dyDescent="0.25">
      <c r="A514" t="s">
        <v>663</v>
      </c>
      <c r="B514" t="s">
        <v>664</v>
      </c>
      <c r="C514">
        <v>161.95000000000002</v>
      </c>
      <c r="D514" t="s">
        <v>593</v>
      </c>
      <c r="E514" t="str">
        <f>CONCATENATE(J514,". ",N514)</f>
        <v>04. Dehumidifiers &amp; Dryers</v>
      </c>
      <c r="F514">
        <v>75</v>
      </c>
      <c r="G514" t="b">
        <v>1</v>
      </c>
      <c r="H514">
        <v>404</v>
      </c>
      <c r="J514" s="193" t="s">
        <v>269</v>
      </c>
      <c r="K514" s="188">
        <f>IFERROR(_xlfn.XLOOKUP(A514,[1]Fleet!A:A,[1]Fleet!E:E,""),"")</f>
        <v>15</v>
      </c>
      <c r="L514" s="188">
        <v>144.6</v>
      </c>
      <c r="M514" s="188" t="s">
        <v>664</v>
      </c>
      <c r="N514" s="188" t="s">
        <v>595</v>
      </c>
      <c r="O514">
        <v>495</v>
      </c>
      <c r="P514">
        <f>_xlfn.XLOOKUP(A514,'[1]Classic Net to delete'!D:D,'[1]Classic Net to delete'!AA:AA,0)</f>
        <v>404</v>
      </c>
    </row>
    <row r="515" spans="1:16" x14ac:dyDescent="0.25">
      <c r="A515" t="s">
        <v>1058</v>
      </c>
      <c r="B515" t="s">
        <v>1059</v>
      </c>
      <c r="C515">
        <v>84.37</v>
      </c>
      <c r="D515" t="s">
        <v>1046</v>
      </c>
      <c r="E515" t="str">
        <f>CONCATENATE(J515,". ",N515)</f>
        <v>. Cutting, Trimming and Clearing</v>
      </c>
      <c r="F515">
        <v>75</v>
      </c>
      <c r="G515" t="b">
        <v>0</v>
      </c>
      <c r="H515">
        <v>0</v>
      </c>
      <c r="K515" s="188">
        <f>IFERROR(_xlfn.XLOOKUP(A515,[1]Fleet!A:A,[1]Fleet!E:E,""),"")</f>
        <v>2</v>
      </c>
      <c r="L515" s="188" t="s">
        <v>76</v>
      </c>
      <c r="M515" s="188" t="s">
        <v>76</v>
      </c>
      <c r="N515" s="188" t="s">
        <v>1060</v>
      </c>
      <c r="O515">
        <v>525</v>
      </c>
      <c r="P515">
        <f>_xlfn.XLOOKUP(A515,'[1]Classic Net to delete'!D:D,'[1]Classic Net to delete'!AA:AA,0)</f>
        <v>0</v>
      </c>
    </row>
    <row r="516" spans="1:16" x14ac:dyDescent="0.25">
      <c r="A516" t="s">
        <v>1061</v>
      </c>
      <c r="B516" t="s">
        <v>1062</v>
      </c>
      <c r="C516">
        <v>84.37</v>
      </c>
      <c r="D516" t="s">
        <v>1046</v>
      </c>
      <c r="E516" t="str">
        <f>CONCATENATE(J516,". ",N516)</f>
        <v>. Cutting, Trimming and Clearing</v>
      </c>
      <c r="F516">
        <v>75</v>
      </c>
      <c r="G516" t="b">
        <v>0</v>
      </c>
      <c r="H516">
        <v>0</v>
      </c>
      <c r="K516" s="188">
        <f>IFERROR(_xlfn.XLOOKUP(A516,[1]Fleet!A:A,[1]Fleet!E:E,""),"")</f>
        <v>2</v>
      </c>
      <c r="L516" s="188" t="s">
        <v>76</v>
      </c>
      <c r="M516" s="188" t="s">
        <v>76</v>
      </c>
      <c r="N516" s="188" t="s">
        <v>1060</v>
      </c>
      <c r="O516">
        <v>526</v>
      </c>
      <c r="P516">
        <f>_xlfn.XLOOKUP(A516,'[1]Classic Net to delete'!D:D,'[1]Classic Net to delete'!AA:AA,0)</f>
        <v>0</v>
      </c>
    </row>
    <row r="517" spans="1:16" x14ac:dyDescent="0.25">
      <c r="A517" t="s">
        <v>1085</v>
      </c>
      <c r="B517" t="s">
        <v>1086</v>
      </c>
      <c r="C517">
        <v>149.97</v>
      </c>
      <c r="D517" t="s">
        <v>1046</v>
      </c>
      <c r="E517" t="str">
        <f>CONCATENATE(J517,". ",N517)</f>
        <v>. Cutting, Trimming and Clearing</v>
      </c>
      <c r="F517">
        <v>75</v>
      </c>
      <c r="G517" t="b">
        <v>0</v>
      </c>
      <c r="H517">
        <v>0</v>
      </c>
      <c r="K517" s="188">
        <f>IFERROR(_xlfn.XLOOKUP(A517,[1]Fleet!A:A,[1]Fleet!E:E,""),"")</f>
        <v>2</v>
      </c>
      <c r="L517" s="188" t="s">
        <v>76</v>
      </c>
      <c r="M517" s="188" t="s">
        <v>76</v>
      </c>
      <c r="N517" s="188" t="s">
        <v>1060</v>
      </c>
      <c r="O517">
        <v>527</v>
      </c>
      <c r="P517">
        <f>_xlfn.XLOOKUP(A517,'[1]Classic Net to delete'!D:D,'[1]Classic Net to delete'!AA:AA,0)</f>
        <v>0</v>
      </c>
    </row>
    <row r="518" spans="1:16" x14ac:dyDescent="0.25">
      <c r="A518" t="s">
        <v>1082</v>
      </c>
      <c r="B518" t="s">
        <v>1083</v>
      </c>
      <c r="C518">
        <v>0</v>
      </c>
      <c r="D518" t="s">
        <v>1046</v>
      </c>
      <c r="E518" t="str">
        <f>CONCATENATE(J518,". ",N518)</f>
        <v>. Cutting, Trimming and Clearing</v>
      </c>
      <c r="F518">
        <v>75</v>
      </c>
      <c r="G518" t="b">
        <v>0</v>
      </c>
      <c r="H518">
        <v>601</v>
      </c>
      <c r="K518" s="188" t="str">
        <f>IFERROR(_xlfn.XLOOKUP(A518,[1]Fleet!A:A,[1]Fleet!E:E,""),"")</f>
        <v/>
      </c>
      <c r="L518" s="188">
        <v>95.2</v>
      </c>
      <c r="M518" s="188" t="s">
        <v>1084</v>
      </c>
      <c r="N518" s="188" t="s">
        <v>1060</v>
      </c>
      <c r="O518">
        <v>522</v>
      </c>
      <c r="P518">
        <f>_xlfn.XLOOKUP(A518,'[1]Classic Net to delete'!D:D,'[1]Classic Net to delete'!AA:AA,0)</f>
        <v>601</v>
      </c>
    </row>
    <row r="519" spans="1:16" x14ac:dyDescent="0.25">
      <c r="A519" t="s">
        <v>1073</v>
      </c>
      <c r="B519" t="s">
        <v>1074</v>
      </c>
      <c r="C519">
        <v>184.25</v>
      </c>
      <c r="D519" t="s">
        <v>1046</v>
      </c>
      <c r="E519" t="str">
        <f>CONCATENATE(J519,". ",N519)</f>
        <v>01. Clearance &amp; Preparation</v>
      </c>
      <c r="F519">
        <v>75</v>
      </c>
      <c r="G519" t="b">
        <v>1</v>
      </c>
      <c r="H519">
        <v>595</v>
      </c>
      <c r="J519" s="193" t="s">
        <v>20</v>
      </c>
      <c r="K519" s="188">
        <f>IFERROR(_xlfn.XLOOKUP(A519,[1]Fleet!A:A,[1]Fleet!E:E,""),"")</f>
        <v>1</v>
      </c>
      <c r="L519" s="188">
        <v>172.20000000000002</v>
      </c>
      <c r="M519" s="188" t="s">
        <v>1074</v>
      </c>
      <c r="N519" s="188" t="s">
        <v>1047</v>
      </c>
      <c r="O519">
        <v>521</v>
      </c>
      <c r="P519">
        <f>_xlfn.XLOOKUP(A519,'[1]Classic Net to delete'!D:D,'[1]Classic Net to delete'!AA:AA,0)</f>
        <v>595</v>
      </c>
    </row>
    <row r="520" spans="1:16" x14ac:dyDescent="0.25">
      <c r="A520" t="s">
        <v>1044</v>
      </c>
      <c r="B520" t="s">
        <v>1045</v>
      </c>
      <c r="C520">
        <v>73.510000000000005</v>
      </c>
      <c r="D520" t="s">
        <v>1046</v>
      </c>
      <c r="E520" t="str">
        <f>CONCATENATE(J520,". ",N520)</f>
        <v>01. Clearance &amp; Preparation</v>
      </c>
      <c r="F520">
        <v>75</v>
      </c>
      <c r="G520" t="b">
        <v>1</v>
      </c>
      <c r="H520">
        <v>596</v>
      </c>
      <c r="J520" s="193" t="s">
        <v>20</v>
      </c>
      <c r="K520" s="188">
        <f>IFERROR(_xlfn.XLOOKUP(A520,[1]Fleet!A:A,[1]Fleet!E:E,""),"")</f>
        <v>13</v>
      </c>
      <c r="L520" s="188">
        <v>68.7</v>
      </c>
      <c r="M520" s="188" t="s">
        <v>1045</v>
      </c>
      <c r="N520" s="188" t="s">
        <v>1047</v>
      </c>
      <c r="O520">
        <v>515</v>
      </c>
      <c r="P520">
        <f>_xlfn.XLOOKUP(A520,'[1]Classic Net to delete'!D:D,'[1]Classic Net to delete'!AA:AA,0)</f>
        <v>596</v>
      </c>
    </row>
    <row r="521" spans="1:16" x14ac:dyDescent="0.25">
      <c r="A521" t="s">
        <v>1048</v>
      </c>
      <c r="B521" t="s">
        <v>1049</v>
      </c>
      <c r="C521">
        <v>73.510000000000005</v>
      </c>
      <c r="D521" t="s">
        <v>1046</v>
      </c>
      <c r="E521" t="str">
        <f>CONCATENATE(J521,". ",N521)</f>
        <v>01. Clearance &amp; Preparation</v>
      </c>
      <c r="F521">
        <v>75</v>
      </c>
      <c r="G521" t="b">
        <v>1</v>
      </c>
      <c r="H521">
        <v>597</v>
      </c>
      <c r="J521" s="193" t="s">
        <v>20</v>
      </c>
      <c r="K521" s="188">
        <f>IFERROR(_xlfn.XLOOKUP(A521,[1]Fleet!A:A,[1]Fleet!E:E,""),"")</f>
        <v>2</v>
      </c>
      <c r="L521" s="188">
        <v>68.7</v>
      </c>
      <c r="M521" s="188" t="s">
        <v>1050</v>
      </c>
      <c r="N521" s="188" t="s">
        <v>1047</v>
      </c>
      <c r="O521">
        <v>524</v>
      </c>
      <c r="P521">
        <f>_xlfn.XLOOKUP(A521,'[1]Classic Net to delete'!D:D,'[1]Classic Net to delete'!AA:AA,0)</f>
        <v>597</v>
      </c>
    </row>
    <row r="522" spans="1:16" x14ac:dyDescent="0.25">
      <c r="A522" t="s">
        <v>1065</v>
      </c>
      <c r="B522" t="s">
        <v>1066</v>
      </c>
      <c r="C522">
        <v>66.61</v>
      </c>
      <c r="D522" t="s">
        <v>1046</v>
      </c>
      <c r="E522" t="str">
        <f>CONCATENATE(J522,". ",N522)</f>
        <v>01. Clearance &amp; Preparation</v>
      </c>
      <c r="F522">
        <v>75</v>
      </c>
      <c r="G522" t="b">
        <v>1</v>
      </c>
      <c r="H522">
        <v>598</v>
      </c>
      <c r="J522" s="193" t="s">
        <v>20</v>
      </c>
      <c r="K522" s="188">
        <f>IFERROR(_xlfn.XLOOKUP(A522,[1]Fleet!A:A,[1]Fleet!E:E,""),"")</f>
        <v>4</v>
      </c>
      <c r="L522" s="188">
        <v>62.25</v>
      </c>
      <c r="M522" s="188" t="s">
        <v>1066</v>
      </c>
      <c r="N522" s="188" t="s">
        <v>1047</v>
      </c>
      <c r="O522">
        <v>518</v>
      </c>
      <c r="P522">
        <f>_xlfn.XLOOKUP(A522,'[1]Classic Net to delete'!D:D,'[1]Classic Net to delete'!AA:AA,0)</f>
        <v>598</v>
      </c>
    </row>
    <row r="523" spans="1:16" x14ac:dyDescent="0.25">
      <c r="A523" t="s">
        <v>1069</v>
      </c>
      <c r="B523" t="s">
        <v>1070</v>
      </c>
      <c r="C523">
        <v>66.61</v>
      </c>
      <c r="D523" t="s">
        <v>1046</v>
      </c>
      <c r="E523" t="str">
        <f>CONCATENATE(J523,". ",N523)</f>
        <v>01. Clearance &amp; Preparation</v>
      </c>
      <c r="F523">
        <v>75</v>
      </c>
      <c r="G523" t="b">
        <v>1</v>
      </c>
      <c r="H523">
        <v>599</v>
      </c>
      <c r="J523" s="193" t="s">
        <v>20</v>
      </c>
      <c r="K523" s="188">
        <f>IFERROR(_xlfn.XLOOKUP(A523,[1]Fleet!A:A,[1]Fleet!E:E,""),"")</f>
        <v>5</v>
      </c>
      <c r="L523" s="188">
        <v>62.25</v>
      </c>
      <c r="M523" s="188" t="s">
        <v>1070</v>
      </c>
      <c r="N523" s="188" t="s">
        <v>1047</v>
      </c>
      <c r="O523">
        <v>523</v>
      </c>
      <c r="P523">
        <f>_xlfn.XLOOKUP(A523,'[1]Classic Net to delete'!D:D,'[1]Classic Net to delete'!AA:AA,0)</f>
        <v>599</v>
      </c>
    </row>
    <row r="524" spans="1:16" x14ac:dyDescent="0.25">
      <c r="A524" t="s">
        <v>1067</v>
      </c>
      <c r="B524" t="s">
        <v>1068</v>
      </c>
      <c r="C524">
        <v>75.38</v>
      </c>
      <c r="D524" t="s">
        <v>1046</v>
      </c>
      <c r="E524" t="str">
        <f>CONCATENATE(J524,". ",N524)</f>
        <v>01. Clearance &amp; Preparation</v>
      </c>
      <c r="F524">
        <v>75</v>
      </c>
      <c r="G524" t="b">
        <v>1</v>
      </c>
      <c r="H524">
        <v>600</v>
      </c>
      <c r="J524" s="193" t="s">
        <v>20</v>
      </c>
      <c r="K524" s="188">
        <f>IFERROR(_xlfn.XLOOKUP(A524,[1]Fleet!A:A,[1]Fleet!E:E,""),"")</f>
        <v>1</v>
      </c>
      <c r="L524" s="188">
        <v>70.45</v>
      </c>
      <c r="M524" s="188" t="s">
        <v>1068</v>
      </c>
      <c r="N524" s="188" t="s">
        <v>1047</v>
      </c>
      <c r="O524">
        <v>519</v>
      </c>
      <c r="P524">
        <f>_xlfn.XLOOKUP(A524,'[1]Classic Net to delete'!D:D,'[1]Classic Net to delete'!AA:AA,0)</f>
        <v>600</v>
      </c>
    </row>
    <row r="525" spans="1:16" x14ac:dyDescent="0.25">
      <c r="A525" t="s">
        <v>1054</v>
      </c>
      <c r="B525" t="s">
        <v>1055</v>
      </c>
      <c r="C525">
        <v>73.510000000000005</v>
      </c>
      <c r="D525" t="s">
        <v>1046</v>
      </c>
      <c r="E525" t="str">
        <f>CONCATENATE(J525,". ",N525)</f>
        <v>01. Clearance &amp; Preparation</v>
      </c>
      <c r="F525">
        <v>75</v>
      </c>
      <c r="G525" t="b">
        <v>1</v>
      </c>
      <c r="H525">
        <v>613</v>
      </c>
      <c r="J525" s="193" t="s">
        <v>20</v>
      </c>
      <c r="K525" s="188">
        <f>IFERROR(_xlfn.XLOOKUP(A525,[1]Fleet!A:A,[1]Fleet!E:E,""),"")</f>
        <v>1</v>
      </c>
      <c r="L525" s="188">
        <v>68.7</v>
      </c>
      <c r="M525" s="188" t="s">
        <v>1055</v>
      </c>
      <c r="N525" s="188" t="s">
        <v>1047</v>
      </c>
      <c r="O525">
        <v>516</v>
      </c>
      <c r="P525">
        <f>_xlfn.XLOOKUP(A525,'[1]Classic Net to delete'!D:D,'[1]Classic Net to delete'!AA:AA,0)</f>
        <v>613</v>
      </c>
    </row>
    <row r="526" spans="1:16" x14ac:dyDescent="0.25">
      <c r="A526" t="s">
        <v>1056</v>
      </c>
      <c r="B526" t="s">
        <v>1057</v>
      </c>
      <c r="C526">
        <v>84.37</v>
      </c>
      <c r="D526" t="s">
        <v>1046</v>
      </c>
      <c r="E526" t="str">
        <f>CONCATENATE(J526,". ",N526)</f>
        <v>01. Clearance &amp; Preparation</v>
      </c>
      <c r="F526">
        <v>75</v>
      </c>
      <c r="G526" t="b">
        <v>1</v>
      </c>
      <c r="H526">
        <v>614</v>
      </c>
      <c r="J526" s="193" t="s">
        <v>20</v>
      </c>
      <c r="K526" s="188">
        <f>IFERROR(_xlfn.XLOOKUP(A526,[1]Fleet!A:A,[1]Fleet!E:E,""),"")</f>
        <v>5</v>
      </c>
      <c r="L526" s="188">
        <v>78.850000000000009</v>
      </c>
      <c r="M526" s="188" t="s">
        <v>1057</v>
      </c>
      <c r="N526" s="188" t="s">
        <v>1047</v>
      </c>
      <c r="O526">
        <v>517</v>
      </c>
      <c r="P526">
        <f>_xlfn.XLOOKUP(A526,'[1]Classic Net to delete'!D:D,'[1]Classic Net to delete'!AA:AA,0)</f>
        <v>614</v>
      </c>
    </row>
    <row r="527" spans="1:16" x14ac:dyDescent="0.25">
      <c r="A527" t="s">
        <v>1071</v>
      </c>
      <c r="B527" t="s">
        <v>1072</v>
      </c>
      <c r="C527">
        <v>56.76</v>
      </c>
      <c r="D527" t="s">
        <v>1046</v>
      </c>
      <c r="E527" t="str">
        <f>CONCATENATE(J527,". ",N527)</f>
        <v>02. Lawn Care</v>
      </c>
      <c r="F527">
        <v>75</v>
      </c>
      <c r="G527" t="b">
        <v>1</v>
      </c>
      <c r="H527">
        <v>618</v>
      </c>
      <c r="J527" s="193" t="s">
        <v>189</v>
      </c>
      <c r="K527" s="188">
        <f>IFERROR(_xlfn.XLOOKUP(A527,[1]Fleet!A:A,[1]Fleet!E:E,""),"")</f>
        <v>5</v>
      </c>
      <c r="L527" s="188">
        <v>53.050000000000004</v>
      </c>
      <c r="M527" s="188" t="s">
        <v>1072</v>
      </c>
      <c r="N527" s="188" t="s">
        <v>1053</v>
      </c>
      <c r="O527">
        <v>520</v>
      </c>
      <c r="P527">
        <f>_xlfn.XLOOKUP(A527,'[1]Classic Net to delete'!D:D,'[1]Classic Net to delete'!AA:AA,0)</f>
        <v>618</v>
      </c>
    </row>
    <row r="528" spans="1:16" x14ac:dyDescent="0.25">
      <c r="A528" t="s">
        <v>1079</v>
      </c>
      <c r="B528" t="s">
        <v>1080</v>
      </c>
      <c r="C528">
        <v>105.02</v>
      </c>
      <c r="D528" t="s">
        <v>1046</v>
      </c>
      <c r="E528" t="str">
        <f>CONCATENATE(J528,". ",N528)</f>
        <v>02. Lawn Care</v>
      </c>
      <c r="F528">
        <v>75</v>
      </c>
      <c r="G528" t="b">
        <v>1</v>
      </c>
      <c r="H528">
        <v>619</v>
      </c>
      <c r="J528" s="193" t="s">
        <v>189</v>
      </c>
      <c r="K528" s="188">
        <f>IFERROR(_xlfn.XLOOKUP(A528,[1]Fleet!A:A,[1]Fleet!E:E,""),"")</f>
        <v>1</v>
      </c>
      <c r="L528" s="188">
        <v>98.15</v>
      </c>
      <c r="M528" s="188" t="s">
        <v>1081</v>
      </c>
      <c r="N528" s="188" t="s">
        <v>1053</v>
      </c>
      <c r="O528">
        <v>534</v>
      </c>
      <c r="P528">
        <f>_xlfn.XLOOKUP(A528,'[1]Classic Net to delete'!D:D,'[1]Classic Net to delete'!AA:AA,0)</f>
        <v>619</v>
      </c>
    </row>
    <row r="529" spans="1:16" x14ac:dyDescent="0.25">
      <c r="A529" t="s">
        <v>1051</v>
      </c>
      <c r="B529" t="s">
        <v>1052</v>
      </c>
      <c r="C529">
        <v>19.900000000000002</v>
      </c>
      <c r="D529" t="s">
        <v>1046</v>
      </c>
      <c r="E529" t="str">
        <f>CONCATENATE(J529,". ",N529)</f>
        <v>02. Lawn Care</v>
      </c>
      <c r="F529">
        <v>75</v>
      </c>
      <c r="G529" t="b">
        <v>1</v>
      </c>
      <c r="H529">
        <v>620</v>
      </c>
      <c r="J529" s="193" t="s">
        <v>189</v>
      </c>
      <c r="K529" s="188">
        <f>IFERROR(_xlfn.XLOOKUP(A529,[1]Fleet!A:A,[1]Fleet!E:E,""),"")</f>
        <v>1</v>
      </c>
      <c r="L529" s="188">
        <v>18.600000000000001</v>
      </c>
      <c r="M529" s="188" t="s">
        <v>1052</v>
      </c>
      <c r="N529" s="188" t="s">
        <v>1053</v>
      </c>
      <c r="O529">
        <v>531</v>
      </c>
      <c r="P529">
        <f>_xlfn.XLOOKUP(A529,'[1]Classic Net to delete'!D:D,'[1]Classic Net to delete'!AA:AA,0)</f>
        <v>620</v>
      </c>
    </row>
    <row r="530" spans="1:16" x14ac:dyDescent="0.25">
      <c r="A530" t="s">
        <v>1063</v>
      </c>
      <c r="B530" t="s">
        <v>1064</v>
      </c>
      <c r="C530">
        <v>22.740000000000002</v>
      </c>
      <c r="D530" t="s">
        <v>1046</v>
      </c>
      <c r="E530" t="str">
        <f>CONCATENATE(J530,". ",N530)</f>
        <v>02. Lawn Care</v>
      </c>
      <c r="F530">
        <v>75</v>
      </c>
      <c r="G530" t="b">
        <v>1</v>
      </c>
      <c r="H530">
        <v>621</v>
      </c>
      <c r="J530" s="193" t="s">
        <v>189</v>
      </c>
      <c r="K530" s="188">
        <f>IFERROR(_xlfn.XLOOKUP(A530,[1]Fleet!A:A,[1]Fleet!E:E,""),"")</f>
        <v>2</v>
      </c>
      <c r="L530" s="188">
        <v>21.25</v>
      </c>
      <c r="M530" s="188" t="s">
        <v>1064</v>
      </c>
      <c r="N530" s="188" t="s">
        <v>1053</v>
      </c>
      <c r="O530">
        <v>532</v>
      </c>
      <c r="P530">
        <f>_xlfn.XLOOKUP(A530,'[1]Classic Net to delete'!D:D,'[1]Classic Net to delete'!AA:AA,0)</f>
        <v>621</v>
      </c>
    </row>
    <row r="531" spans="1:16" x14ac:dyDescent="0.25">
      <c r="A531" t="s">
        <v>2271</v>
      </c>
      <c r="B531" t="s">
        <v>2272</v>
      </c>
      <c r="C531">
        <v>9.15</v>
      </c>
      <c r="D531" t="s">
        <v>1046</v>
      </c>
      <c r="E531" t="str">
        <f>CONCATENATE(J531,". ",N531)</f>
        <v>03. Fencing &amp; Tools</v>
      </c>
      <c r="F531">
        <v>75</v>
      </c>
      <c r="G531" t="b">
        <v>1</v>
      </c>
      <c r="H531">
        <v>602</v>
      </c>
      <c r="J531" s="193" t="s">
        <v>188</v>
      </c>
      <c r="K531" s="188" t="str">
        <f>IFERROR(_xlfn.XLOOKUP(A531,[1]Fleet!A:A,[1]Fleet!E:E,""),"")</f>
        <v/>
      </c>
      <c r="L531" s="188">
        <v>8.5500000000000007</v>
      </c>
      <c r="M531" s="188" t="s">
        <v>2273</v>
      </c>
      <c r="N531" s="188" t="s">
        <v>1078</v>
      </c>
      <c r="O531">
        <v>529</v>
      </c>
      <c r="P531">
        <f>_xlfn.XLOOKUP(A531,'[1]Classic Net to delete'!D:D,'[1]Classic Net to delete'!AA:AA,0)</f>
        <v>602</v>
      </c>
    </row>
    <row r="532" spans="1:16" x14ac:dyDescent="0.25">
      <c r="A532" t="s">
        <v>2268</v>
      </c>
      <c r="B532" t="s">
        <v>2269</v>
      </c>
      <c r="C532">
        <v>10.75</v>
      </c>
      <c r="D532" t="s">
        <v>1046</v>
      </c>
      <c r="E532" t="str">
        <f>CONCATENATE(J532,". ",N532)</f>
        <v>03. Fencing &amp; Tools</v>
      </c>
      <c r="F532">
        <v>75</v>
      </c>
      <c r="G532" t="b">
        <v>1</v>
      </c>
      <c r="H532">
        <v>603</v>
      </c>
      <c r="J532" s="193" t="s">
        <v>188</v>
      </c>
      <c r="K532" s="188" t="str">
        <f>IFERROR(_xlfn.XLOOKUP(A532,[1]Fleet!A:A,[1]Fleet!E:E,""),"")</f>
        <v/>
      </c>
      <c r="L532" s="188">
        <v>10.050000000000001</v>
      </c>
      <c r="M532" s="188" t="s">
        <v>2270</v>
      </c>
      <c r="N532" s="188" t="s">
        <v>1078</v>
      </c>
      <c r="O532">
        <v>530</v>
      </c>
      <c r="P532">
        <f>_xlfn.XLOOKUP(A532,'[1]Classic Net to delete'!D:D,'[1]Classic Net to delete'!AA:AA,0)</f>
        <v>603</v>
      </c>
    </row>
    <row r="533" spans="1:16" x14ac:dyDescent="0.25">
      <c r="A533" t="s">
        <v>1075</v>
      </c>
      <c r="B533" t="s">
        <v>1076</v>
      </c>
      <c r="C533">
        <v>114.86</v>
      </c>
      <c r="D533" t="s">
        <v>1046</v>
      </c>
      <c r="E533" t="str">
        <f>CONCATENATE(J533,". ",N533)</f>
        <v>03. Fencing &amp; Tools</v>
      </c>
      <c r="F533">
        <v>75</v>
      </c>
      <c r="G533" t="b">
        <v>1</v>
      </c>
      <c r="H533">
        <v>606</v>
      </c>
      <c r="J533" s="193" t="s">
        <v>188</v>
      </c>
      <c r="K533" s="188">
        <f>IFERROR(_xlfn.XLOOKUP(A533,[1]Fleet!A:A,[1]Fleet!E:E,""),"")</f>
        <v>3</v>
      </c>
      <c r="L533" s="188">
        <v>107.35000000000001</v>
      </c>
      <c r="M533" s="188" t="s">
        <v>1077</v>
      </c>
      <c r="N533" s="188" t="s">
        <v>1078</v>
      </c>
      <c r="O533">
        <v>533</v>
      </c>
      <c r="P533">
        <f>_xlfn.XLOOKUP(A533,'[1]Classic Net to delete'!D:D,'[1]Classic Net to delete'!AA:AA,0)</f>
        <v>606</v>
      </c>
    </row>
    <row r="534" spans="1:16" x14ac:dyDescent="0.25">
      <c r="A534" t="s">
        <v>2286</v>
      </c>
      <c r="B534" t="s">
        <v>2287</v>
      </c>
      <c r="C534">
        <v>15.46</v>
      </c>
      <c r="D534" t="s">
        <v>1046</v>
      </c>
      <c r="E534" t="str">
        <f>CONCATENATE(J534,". ",N534)</f>
        <v>03. Fencing &amp; Tools</v>
      </c>
      <c r="F534">
        <v>75</v>
      </c>
      <c r="G534" t="b">
        <v>1</v>
      </c>
      <c r="H534">
        <v>607</v>
      </c>
      <c r="J534" s="193" t="s">
        <v>188</v>
      </c>
      <c r="K534" s="188" t="str">
        <f>IFERROR(_xlfn.XLOOKUP(A534,[1]Fleet!A:A,[1]Fleet!E:E,""),"")</f>
        <v/>
      </c>
      <c r="L534" s="188">
        <v>14.450000000000001</v>
      </c>
      <c r="M534" s="188" t="s">
        <v>2288</v>
      </c>
      <c r="N534" s="188" t="s">
        <v>1078</v>
      </c>
      <c r="O534">
        <v>528</v>
      </c>
      <c r="P534">
        <f>_xlfn.XLOOKUP(A534,'[1]Classic Net to delete'!D:D,'[1]Classic Net to delete'!AA:AA,0)</f>
        <v>607</v>
      </c>
    </row>
    <row r="535" spans="1:16" x14ac:dyDescent="0.25">
      <c r="A535" t="s">
        <v>2857</v>
      </c>
      <c r="B535" t="s">
        <v>2858</v>
      </c>
      <c r="C535">
        <v>22.1</v>
      </c>
      <c r="D535" t="s">
        <v>1630</v>
      </c>
      <c r="E535" t="str">
        <f>CONCATENATE(J535,". ",N535)</f>
        <v xml:space="preserve">. </v>
      </c>
      <c r="F535">
        <v>75</v>
      </c>
      <c r="G535" t="b">
        <v>0</v>
      </c>
      <c r="H535">
        <v>0</v>
      </c>
      <c r="K535" s="188" t="str">
        <f>IFERROR(_xlfn.XLOOKUP(A535,[1]Fleet!A:A,[1]Fleet!E:E,""),"")</f>
        <v/>
      </c>
      <c r="L535" s="188" t="s">
        <v>76</v>
      </c>
      <c r="M535" s="188" t="s">
        <v>76</v>
      </c>
      <c r="O535">
        <v>537</v>
      </c>
      <c r="P535">
        <f>_xlfn.XLOOKUP(A535,'[1]Classic Net to delete'!D:D,'[1]Classic Net to delete'!AA:AA,0)</f>
        <v>0</v>
      </c>
    </row>
    <row r="536" spans="1:16" x14ac:dyDescent="0.25">
      <c r="A536" t="s">
        <v>2871</v>
      </c>
      <c r="B536" t="s">
        <v>2872</v>
      </c>
      <c r="C536">
        <v>25.57</v>
      </c>
      <c r="D536" t="s">
        <v>1630</v>
      </c>
      <c r="E536" t="str">
        <f>CONCATENATE(J536,". ",N536)</f>
        <v xml:space="preserve">. </v>
      </c>
      <c r="F536">
        <v>75</v>
      </c>
      <c r="G536" t="b">
        <v>0</v>
      </c>
      <c r="H536">
        <v>0</v>
      </c>
      <c r="K536" s="188" t="str">
        <f>IFERROR(_xlfn.XLOOKUP(A536,[1]Fleet!A:A,[1]Fleet!E:E,""),"")</f>
        <v/>
      </c>
      <c r="L536" s="188" t="s">
        <v>76</v>
      </c>
      <c r="M536" s="188" t="s">
        <v>76</v>
      </c>
      <c r="O536">
        <v>536</v>
      </c>
      <c r="P536">
        <f>_xlfn.XLOOKUP(A536,'[1]Classic Net to delete'!D:D,'[1]Classic Net to delete'!AA:AA,0)</f>
        <v>0</v>
      </c>
    </row>
    <row r="537" spans="1:16" x14ac:dyDescent="0.25">
      <c r="A537" t="s">
        <v>2879</v>
      </c>
      <c r="B537" t="s">
        <v>2880</v>
      </c>
      <c r="C537">
        <v>11.88</v>
      </c>
      <c r="D537" t="s">
        <v>1630</v>
      </c>
      <c r="E537" t="str">
        <f>CONCATENATE(J537,". ",N537)</f>
        <v xml:space="preserve">. </v>
      </c>
      <c r="F537">
        <v>75</v>
      </c>
      <c r="G537" t="b">
        <v>0</v>
      </c>
      <c r="H537">
        <v>0</v>
      </c>
      <c r="K537" s="188" t="str">
        <f>IFERROR(_xlfn.XLOOKUP(A537,[1]Fleet!A:A,[1]Fleet!E:E,""),"")</f>
        <v/>
      </c>
      <c r="L537" s="188" t="s">
        <v>76</v>
      </c>
      <c r="M537" s="188" t="s">
        <v>76</v>
      </c>
      <c r="O537">
        <v>535</v>
      </c>
      <c r="P537">
        <f>_xlfn.XLOOKUP(A537,'[1]Classic Net to delete'!D:D,'[1]Classic Net to delete'!AA:AA,0)</f>
        <v>0</v>
      </c>
    </row>
    <row r="538" spans="1:16" x14ac:dyDescent="0.25">
      <c r="A538" t="s">
        <v>1633</v>
      </c>
      <c r="B538" t="s">
        <v>1634</v>
      </c>
      <c r="C538">
        <v>47.67</v>
      </c>
      <c r="D538" t="s">
        <v>1630</v>
      </c>
      <c r="E538" t="str">
        <f>CONCATENATE(J538,". ",N538)</f>
        <v>. Lifting and Hoisting</v>
      </c>
      <c r="F538">
        <v>75</v>
      </c>
      <c r="G538" t="b">
        <v>0</v>
      </c>
      <c r="H538">
        <v>0</v>
      </c>
      <c r="K538" s="188">
        <f>IFERROR(_xlfn.XLOOKUP(A538,[1]Fleet!A:A,[1]Fleet!E:E,""),"")</f>
        <v>3</v>
      </c>
      <c r="L538" s="188" t="s">
        <v>76</v>
      </c>
      <c r="M538" s="188" t="s">
        <v>76</v>
      </c>
      <c r="N538" s="188" t="s">
        <v>1632</v>
      </c>
      <c r="O538">
        <v>559</v>
      </c>
      <c r="P538">
        <f>_xlfn.XLOOKUP(A538,'[1]Classic Net to delete'!D:D,'[1]Classic Net to delete'!AA:AA,0)</f>
        <v>0</v>
      </c>
    </row>
    <row r="539" spans="1:16" x14ac:dyDescent="0.25">
      <c r="A539" t="s">
        <v>1635</v>
      </c>
      <c r="B539" t="s">
        <v>1636</v>
      </c>
      <c r="C539">
        <v>61.2</v>
      </c>
      <c r="D539" t="s">
        <v>1630</v>
      </c>
      <c r="E539" t="str">
        <f>CONCATENATE(J539,". ",N539)</f>
        <v>. Lifting and Hoisting</v>
      </c>
      <c r="F539">
        <v>75</v>
      </c>
      <c r="G539" t="b">
        <v>0</v>
      </c>
      <c r="H539">
        <v>0</v>
      </c>
      <c r="K539" s="188">
        <f>IFERROR(_xlfn.XLOOKUP(A539,[1]Fleet!A:A,[1]Fleet!E:E,""),"")</f>
        <v>1</v>
      </c>
      <c r="L539" s="188" t="s">
        <v>76</v>
      </c>
      <c r="M539" s="188" t="s">
        <v>76</v>
      </c>
      <c r="N539" s="188" t="s">
        <v>1632</v>
      </c>
      <c r="O539">
        <v>560</v>
      </c>
      <c r="P539">
        <f>_xlfn.XLOOKUP(A539,'[1]Classic Net to delete'!D:D,'[1]Classic Net to delete'!AA:AA,0)</f>
        <v>0</v>
      </c>
    </row>
    <row r="540" spans="1:16" x14ac:dyDescent="0.25">
      <c r="A540" t="s">
        <v>1637</v>
      </c>
      <c r="B540" t="s">
        <v>1638</v>
      </c>
      <c r="C540">
        <v>74.47</v>
      </c>
      <c r="D540" t="s">
        <v>1630</v>
      </c>
      <c r="E540" t="str">
        <f>CONCATENATE(J540,". ",N540)</f>
        <v>. Lifting and Hoisting</v>
      </c>
      <c r="F540">
        <v>75</v>
      </c>
      <c r="G540" t="b">
        <v>0</v>
      </c>
      <c r="H540">
        <v>0</v>
      </c>
      <c r="K540" s="188">
        <f>IFERROR(_xlfn.XLOOKUP(A540,[1]Fleet!A:A,[1]Fleet!E:E,""),"")</f>
        <v>2</v>
      </c>
      <c r="L540" s="188" t="s">
        <v>76</v>
      </c>
      <c r="M540" s="188" t="s">
        <v>76</v>
      </c>
      <c r="N540" s="188" t="s">
        <v>1632</v>
      </c>
      <c r="O540">
        <v>561</v>
      </c>
      <c r="P540">
        <f>_xlfn.XLOOKUP(A540,'[1]Classic Net to delete'!D:D,'[1]Classic Net to delete'!AA:AA,0)</f>
        <v>0</v>
      </c>
    </row>
    <row r="541" spans="1:16" x14ac:dyDescent="0.25">
      <c r="A541" t="s">
        <v>1639</v>
      </c>
      <c r="B541" t="s">
        <v>1640</v>
      </c>
      <c r="C541">
        <v>94.64</v>
      </c>
      <c r="D541" t="s">
        <v>1630</v>
      </c>
      <c r="E541" t="str">
        <f>CONCATENATE(J541,". ",N541)</f>
        <v>. Lifting and Hoisting</v>
      </c>
      <c r="F541">
        <v>75</v>
      </c>
      <c r="G541" t="b">
        <v>0</v>
      </c>
      <c r="H541">
        <v>0</v>
      </c>
      <c r="K541" s="188">
        <f>IFERROR(_xlfn.XLOOKUP(A541,[1]Fleet!A:A,[1]Fleet!E:E,""),"")</f>
        <v>1</v>
      </c>
      <c r="L541" s="188" t="s">
        <v>76</v>
      </c>
      <c r="M541" s="188" t="s">
        <v>76</v>
      </c>
      <c r="N541" s="188" t="s">
        <v>1632</v>
      </c>
      <c r="O541">
        <v>584</v>
      </c>
      <c r="P541">
        <f>_xlfn.XLOOKUP(A541,'[1]Classic Net to delete'!D:D,'[1]Classic Net to delete'!AA:AA,0)</f>
        <v>0</v>
      </c>
    </row>
    <row r="542" spans="1:16" x14ac:dyDescent="0.25">
      <c r="A542" t="s">
        <v>1645</v>
      </c>
      <c r="B542" t="s">
        <v>1646</v>
      </c>
      <c r="C542">
        <v>61.85</v>
      </c>
      <c r="D542" t="s">
        <v>1630</v>
      </c>
      <c r="E542" t="str">
        <f>CONCATENATE(J542,". ",N542)</f>
        <v>. Lifting and Hoisting</v>
      </c>
      <c r="F542">
        <v>75</v>
      </c>
      <c r="G542" t="b">
        <v>0</v>
      </c>
      <c r="H542">
        <v>0</v>
      </c>
      <c r="K542" s="188">
        <f>IFERROR(_xlfn.XLOOKUP(A542,[1]Fleet!A:A,[1]Fleet!E:E,""),"")</f>
        <v>1</v>
      </c>
      <c r="L542" s="188" t="s">
        <v>76</v>
      </c>
      <c r="M542" s="188" t="s">
        <v>76</v>
      </c>
      <c r="N542" s="188" t="s">
        <v>1632</v>
      </c>
      <c r="O542">
        <v>563</v>
      </c>
      <c r="P542">
        <f>_xlfn.XLOOKUP(A542,'[1]Classic Net to delete'!D:D,'[1]Classic Net to delete'!AA:AA,0)</f>
        <v>0</v>
      </c>
    </row>
    <row r="543" spans="1:16" x14ac:dyDescent="0.25">
      <c r="A543" t="s">
        <v>1647</v>
      </c>
      <c r="B543" t="s">
        <v>1648</v>
      </c>
      <c r="C543">
        <v>75.38</v>
      </c>
      <c r="D543" t="s">
        <v>1630</v>
      </c>
      <c r="E543" t="str">
        <f>CONCATENATE(J543,". ",N543)</f>
        <v>. Lifting and Hoisting</v>
      </c>
      <c r="F543">
        <v>75</v>
      </c>
      <c r="G543" t="b">
        <v>0</v>
      </c>
      <c r="H543">
        <v>0</v>
      </c>
      <c r="K543" s="188">
        <f>IFERROR(_xlfn.XLOOKUP(A543,[1]Fleet!A:A,[1]Fleet!E:E,""),"")</f>
        <v>1</v>
      </c>
      <c r="L543" s="188" t="s">
        <v>76</v>
      </c>
      <c r="M543" s="188" t="s">
        <v>76</v>
      </c>
      <c r="N543" s="188" t="s">
        <v>1632</v>
      </c>
      <c r="O543">
        <v>564</v>
      </c>
      <c r="P543">
        <f>_xlfn.XLOOKUP(A543,'[1]Classic Net to delete'!D:D,'[1]Classic Net to delete'!AA:AA,0)</f>
        <v>0</v>
      </c>
    </row>
    <row r="544" spans="1:16" x14ac:dyDescent="0.25">
      <c r="A544" t="s">
        <v>1649</v>
      </c>
      <c r="B544" t="s">
        <v>1650</v>
      </c>
      <c r="C544">
        <v>88.65</v>
      </c>
      <c r="D544" t="s">
        <v>1630</v>
      </c>
      <c r="E544" t="str">
        <f>CONCATENATE(J544,". ",N544)</f>
        <v>. Lifting and Hoisting</v>
      </c>
      <c r="F544">
        <v>75</v>
      </c>
      <c r="G544" t="b">
        <v>0</v>
      </c>
      <c r="H544">
        <v>0</v>
      </c>
      <c r="K544" s="188">
        <f>IFERROR(_xlfn.XLOOKUP(A544,[1]Fleet!A:A,[1]Fleet!E:E,""),"")</f>
        <v>2</v>
      </c>
      <c r="L544" s="188" t="s">
        <v>76</v>
      </c>
      <c r="M544" s="188" t="s">
        <v>76</v>
      </c>
      <c r="N544" s="188" t="s">
        <v>1632</v>
      </c>
      <c r="O544">
        <v>565</v>
      </c>
      <c r="P544">
        <f>_xlfn.XLOOKUP(A544,'[1]Classic Net to delete'!D:D,'[1]Classic Net to delete'!AA:AA,0)</f>
        <v>0</v>
      </c>
    </row>
    <row r="545" spans="1:16" x14ac:dyDescent="0.25">
      <c r="A545" t="s">
        <v>1654</v>
      </c>
      <c r="B545" t="s">
        <v>1655</v>
      </c>
      <c r="C545">
        <v>71.64</v>
      </c>
      <c r="D545" t="s">
        <v>1630</v>
      </c>
      <c r="E545" t="str">
        <f>CONCATENATE(J545,". ",N545)</f>
        <v>. Lifting and Hoisting</v>
      </c>
      <c r="F545">
        <v>75</v>
      </c>
      <c r="G545" t="b">
        <v>0</v>
      </c>
      <c r="H545">
        <v>0</v>
      </c>
      <c r="K545" s="188">
        <f>IFERROR(_xlfn.XLOOKUP(A545,[1]Fleet!A:A,[1]Fleet!E:E,""),"")</f>
        <v>4</v>
      </c>
      <c r="L545" s="188" t="s">
        <v>76</v>
      </c>
      <c r="M545" s="188" t="s">
        <v>76</v>
      </c>
      <c r="N545" s="188" t="s">
        <v>1632</v>
      </c>
      <c r="O545">
        <v>566</v>
      </c>
      <c r="P545">
        <f>_xlfn.XLOOKUP(A545,'[1]Classic Net to delete'!D:D,'[1]Classic Net to delete'!AA:AA,0)</f>
        <v>0</v>
      </c>
    </row>
    <row r="546" spans="1:16" x14ac:dyDescent="0.25">
      <c r="A546" t="s">
        <v>1656</v>
      </c>
      <c r="B546" t="s">
        <v>1657</v>
      </c>
      <c r="C546">
        <v>89.61</v>
      </c>
      <c r="D546" t="s">
        <v>1630</v>
      </c>
      <c r="E546" t="str">
        <f>CONCATENATE(J546,". ",N546)</f>
        <v>. Lifting and Hoisting</v>
      </c>
      <c r="F546">
        <v>75</v>
      </c>
      <c r="G546" t="b">
        <v>0</v>
      </c>
      <c r="H546">
        <v>0</v>
      </c>
      <c r="K546" s="188">
        <f>IFERROR(_xlfn.XLOOKUP(A546,[1]Fleet!A:A,[1]Fleet!E:E,""),"")</f>
        <v>2</v>
      </c>
      <c r="L546" s="188" t="s">
        <v>76</v>
      </c>
      <c r="M546" s="188" t="s">
        <v>76</v>
      </c>
      <c r="N546" s="188" t="s">
        <v>1632</v>
      </c>
      <c r="O546">
        <v>578</v>
      </c>
      <c r="P546">
        <f>_xlfn.XLOOKUP(A546,'[1]Classic Net to delete'!D:D,'[1]Classic Net to delete'!AA:AA,0)</f>
        <v>0</v>
      </c>
    </row>
    <row r="547" spans="1:16" x14ac:dyDescent="0.25">
      <c r="A547" t="s">
        <v>1658</v>
      </c>
      <c r="B547" t="s">
        <v>1659</v>
      </c>
      <c r="C547">
        <v>132.19999999999999</v>
      </c>
      <c r="D547" t="s">
        <v>1630</v>
      </c>
      <c r="E547" t="str">
        <f>CONCATENATE(J547,". ",N547)</f>
        <v>. Lifting and Hoisting</v>
      </c>
      <c r="F547">
        <v>75</v>
      </c>
      <c r="G547" t="b">
        <v>0</v>
      </c>
      <c r="H547">
        <v>0</v>
      </c>
      <c r="K547" s="188">
        <f>IFERROR(_xlfn.XLOOKUP(A547,[1]Fleet!A:A,[1]Fleet!E:E,""),"")</f>
        <v>2</v>
      </c>
      <c r="L547" s="188" t="s">
        <v>76</v>
      </c>
      <c r="M547" s="188" t="s">
        <v>76</v>
      </c>
      <c r="N547" s="188" t="s">
        <v>1632</v>
      </c>
      <c r="O547">
        <v>579</v>
      </c>
      <c r="P547">
        <f>_xlfn.XLOOKUP(A547,'[1]Classic Net to delete'!D:D,'[1]Classic Net to delete'!AA:AA,0)</f>
        <v>0</v>
      </c>
    </row>
    <row r="548" spans="1:16" x14ac:dyDescent="0.25">
      <c r="A548" t="s">
        <v>1740</v>
      </c>
      <c r="B548" t="s">
        <v>1741</v>
      </c>
      <c r="C548">
        <v>35.36</v>
      </c>
      <c r="D548" t="s">
        <v>1630</v>
      </c>
      <c r="E548" t="str">
        <f>CONCATENATE(J548,". ",N548)</f>
        <v>. Lifting and Hoisting</v>
      </c>
      <c r="F548">
        <v>75</v>
      </c>
      <c r="G548" t="b">
        <v>0</v>
      </c>
      <c r="H548">
        <v>0</v>
      </c>
      <c r="K548" s="188">
        <f>IFERROR(_xlfn.XLOOKUP(A548,[1]Fleet!A:A,[1]Fleet!E:E,""),"")</f>
        <v>3</v>
      </c>
      <c r="L548" s="188" t="s">
        <v>76</v>
      </c>
      <c r="M548" s="188" t="s">
        <v>76</v>
      </c>
      <c r="N548" s="188" t="s">
        <v>1632</v>
      </c>
      <c r="O548">
        <v>555</v>
      </c>
      <c r="P548">
        <f>_xlfn.XLOOKUP(A548,'[1]Classic Net to delete'!D:D,'[1]Classic Net to delete'!AA:AA,0)</f>
        <v>0</v>
      </c>
    </row>
    <row r="549" spans="1:16" x14ac:dyDescent="0.25">
      <c r="A549" t="s">
        <v>1796</v>
      </c>
      <c r="B549" t="s">
        <v>1797</v>
      </c>
      <c r="C549">
        <v>42.32</v>
      </c>
      <c r="D549" t="s">
        <v>1630</v>
      </c>
      <c r="E549" t="str">
        <f>CONCATENATE(J549,". ",N549)</f>
        <v>. Lifting and Hoisting</v>
      </c>
      <c r="F549">
        <v>75</v>
      </c>
      <c r="G549" t="b">
        <v>0</v>
      </c>
      <c r="H549">
        <v>0</v>
      </c>
      <c r="K549" s="188">
        <f>IFERROR(_xlfn.XLOOKUP(A549,[1]Fleet!A:A,[1]Fleet!E:E,""),"")</f>
        <v>1</v>
      </c>
      <c r="L549" s="188" t="s">
        <v>76</v>
      </c>
      <c r="M549" s="188" t="s">
        <v>76</v>
      </c>
      <c r="N549" s="188" t="s">
        <v>1632</v>
      </c>
      <c r="O549">
        <v>591</v>
      </c>
      <c r="P549">
        <f>_xlfn.XLOOKUP(A549,'[1]Classic Net to delete'!D:D,'[1]Classic Net to delete'!AA:AA,0)</f>
        <v>0</v>
      </c>
    </row>
    <row r="550" spans="1:16" x14ac:dyDescent="0.25">
      <c r="A550" t="s">
        <v>1807</v>
      </c>
      <c r="B550" t="s">
        <v>1808</v>
      </c>
      <c r="C550">
        <v>291.27</v>
      </c>
      <c r="D550" t="s">
        <v>1630</v>
      </c>
      <c r="E550" t="str">
        <f>CONCATENATE(J550,". ",N550)</f>
        <v>. Lifting and Hoisting</v>
      </c>
      <c r="F550">
        <v>75</v>
      </c>
      <c r="G550" t="b">
        <v>0</v>
      </c>
      <c r="H550">
        <v>0</v>
      </c>
      <c r="K550" s="188">
        <f>IFERROR(_xlfn.XLOOKUP(A550,[1]Fleet!A:A,[1]Fleet!E:E,""),"")</f>
        <v>2</v>
      </c>
      <c r="L550" s="188" t="s">
        <v>76</v>
      </c>
      <c r="M550" s="188" t="s">
        <v>76</v>
      </c>
      <c r="N550" s="188" t="s">
        <v>1632</v>
      </c>
      <c r="O550">
        <v>590</v>
      </c>
      <c r="P550">
        <f>_xlfn.XLOOKUP(A550,'[1]Classic Net to delete'!D:D,'[1]Classic Net to delete'!AA:AA,0)</f>
        <v>0</v>
      </c>
    </row>
    <row r="551" spans="1:16" x14ac:dyDescent="0.25">
      <c r="A551" t="s">
        <v>1628</v>
      </c>
      <c r="B551" t="s">
        <v>1629</v>
      </c>
      <c r="C551">
        <v>34.130000000000003</v>
      </c>
      <c r="D551" t="s">
        <v>1630</v>
      </c>
      <c r="E551" t="str">
        <f>CONCATENATE(J551,". ",N551)</f>
        <v>. Lifting and Hoisting</v>
      </c>
      <c r="F551">
        <v>75</v>
      </c>
      <c r="G551" t="b">
        <v>0</v>
      </c>
      <c r="H551">
        <v>1055</v>
      </c>
      <c r="K551" s="188">
        <f>IFERROR(_xlfn.XLOOKUP(A551,[1]Fleet!A:A,[1]Fleet!E:E,""),"")</f>
        <v>1</v>
      </c>
      <c r="L551" s="188">
        <v>31.900000000000002</v>
      </c>
      <c r="M551" s="188" t="s">
        <v>1631</v>
      </c>
      <c r="N551" s="188" t="s">
        <v>1632</v>
      </c>
      <c r="O551">
        <v>558</v>
      </c>
      <c r="P551">
        <f>_xlfn.XLOOKUP(A551,'[1]Classic Net to delete'!D:D,'[1]Classic Net to delete'!AA:AA,0)</f>
        <v>1055</v>
      </c>
    </row>
    <row r="552" spans="1:16" x14ac:dyDescent="0.25">
      <c r="A552" t="s">
        <v>1710</v>
      </c>
      <c r="B552" t="s">
        <v>1711</v>
      </c>
      <c r="C552">
        <v>60.54</v>
      </c>
      <c r="D552" t="s">
        <v>1630</v>
      </c>
      <c r="E552" t="str">
        <f>CONCATENATE(J552,". ",N552)</f>
        <v>. TBC</v>
      </c>
      <c r="F552">
        <v>75</v>
      </c>
      <c r="G552" t="b">
        <v>0</v>
      </c>
      <c r="H552">
        <v>0</v>
      </c>
      <c r="K552" s="188">
        <f>IFERROR(_xlfn.XLOOKUP(A552,[1]Fleet!A:A,[1]Fleet!E:E,""),"")</f>
        <v>6</v>
      </c>
      <c r="L552" s="188" t="s">
        <v>76</v>
      </c>
      <c r="M552" s="188" t="s">
        <v>76</v>
      </c>
      <c r="N552" s="188" t="s">
        <v>1712</v>
      </c>
      <c r="O552">
        <v>638</v>
      </c>
      <c r="P552">
        <f>_xlfn.XLOOKUP(A552,'[1]Classic Net to delete'!D:D,'[1]Classic Net to delete'!AA:AA,0)</f>
        <v>0</v>
      </c>
    </row>
    <row r="553" spans="1:16" x14ac:dyDescent="0.25">
      <c r="A553" t="s">
        <v>1734</v>
      </c>
      <c r="B553" t="s">
        <v>1732</v>
      </c>
      <c r="C553">
        <v>246.05</v>
      </c>
      <c r="D553" t="s">
        <v>1630</v>
      </c>
      <c r="E553" t="str">
        <f>CONCATENATE(J553,". ",N553)</f>
        <v>. TBC</v>
      </c>
      <c r="F553">
        <v>75</v>
      </c>
      <c r="G553" t="b">
        <v>0</v>
      </c>
      <c r="H553">
        <v>0</v>
      </c>
      <c r="K553" s="188">
        <f>IFERROR(_xlfn.XLOOKUP(A553,[1]Fleet!A:A,[1]Fleet!E:E,""),"")</f>
        <v>1</v>
      </c>
      <c r="L553" s="188" t="s">
        <v>76</v>
      </c>
      <c r="M553" s="188" t="s">
        <v>76</v>
      </c>
      <c r="N553" s="188" t="s">
        <v>1712</v>
      </c>
      <c r="O553">
        <v>636</v>
      </c>
      <c r="P553">
        <f>_xlfn.XLOOKUP(A553,'[1]Classic Net to delete'!D:D,'[1]Classic Net to delete'!AA:AA,0)</f>
        <v>0</v>
      </c>
    </row>
    <row r="554" spans="1:16" x14ac:dyDescent="0.25">
      <c r="A554" t="s">
        <v>1767</v>
      </c>
      <c r="B554" t="s">
        <v>1768</v>
      </c>
      <c r="C554">
        <v>93.68</v>
      </c>
      <c r="D554" t="s">
        <v>1630</v>
      </c>
      <c r="E554" t="str">
        <f>CONCATENATE(J554,". ",N554)</f>
        <v>. TBC</v>
      </c>
      <c r="F554">
        <v>75</v>
      </c>
      <c r="G554" t="b">
        <v>0</v>
      </c>
      <c r="H554">
        <v>0</v>
      </c>
      <c r="K554" s="188">
        <f>IFERROR(_xlfn.XLOOKUP(A554,[1]Fleet!A:A,[1]Fleet!E:E,""),"")</f>
        <v>6</v>
      </c>
      <c r="L554" s="188" t="s">
        <v>76</v>
      </c>
      <c r="M554" s="188" t="s">
        <v>76</v>
      </c>
      <c r="N554" s="188" t="s">
        <v>1712</v>
      </c>
      <c r="O554">
        <v>639</v>
      </c>
      <c r="P554">
        <f>_xlfn.XLOOKUP(A554,'[1]Classic Net to delete'!D:D,'[1]Classic Net to delete'!AA:AA,0)</f>
        <v>0</v>
      </c>
    </row>
    <row r="555" spans="1:16" x14ac:dyDescent="0.25">
      <c r="A555" t="s">
        <v>1782</v>
      </c>
      <c r="B555" t="s">
        <v>1783</v>
      </c>
      <c r="C555">
        <v>69.55</v>
      </c>
      <c r="D555" t="s">
        <v>1630</v>
      </c>
      <c r="E555" t="str">
        <f>CONCATENATE(J555,". ",N555)</f>
        <v>. TBC</v>
      </c>
      <c r="F555">
        <v>75</v>
      </c>
      <c r="G555" t="b">
        <v>0</v>
      </c>
      <c r="H555">
        <v>0</v>
      </c>
      <c r="K555" s="188">
        <f>IFERROR(_xlfn.XLOOKUP(A555,[1]Fleet!A:A,[1]Fleet!E:E,""),"")</f>
        <v>4</v>
      </c>
      <c r="L555" s="188" t="s">
        <v>76</v>
      </c>
      <c r="M555" s="188" t="s">
        <v>76</v>
      </c>
      <c r="N555" s="188" t="s">
        <v>1712</v>
      </c>
      <c r="O555">
        <v>637</v>
      </c>
      <c r="P555">
        <f>_xlfn.XLOOKUP(A555,'[1]Classic Net to delete'!D:D,'[1]Classic Net to delete'!AA:AA,0)</f>
        <v>0</v>
      </c>
    </row>
    <row r="556" spans="1:16" x14ac:dyDescent="0.25">
      <c r="A556" t="s">
        <v>1784</v>
      </c>
      <c r="B556" t="s">
        <v>1785</v>
      </c>
      <c r="C556">
        <v>143.27000000000001</v>
      </c>
      <c r="D556" t="s">
        <v>1630</v>
      </c>
      <c r="E556" t="str">
        <f>CONCATENATE(J556,". ",N556)</f>
        <v>. TBC</v>
      </c>
      <c r="F556">
        <v>75</v>
      </c>
      <c r="G556" t="b">
        <v>0</v>
      </c>
      <c r="H556">
        <v>0</v>
      </c>
      <c r="K556" s="188">
        <f>IFERROR(_xlfn.XLOOKUP(A556,[1]Fleet!A:A,[1]Fleet!E:E,""),"")</f>
        <v>2</v>
      </c>
      <c r="L556" s="188" t="s">
        <v>76</v>
      </c>
      <c r="M556" s="188" t="s">
        <v>76</v>
      </c>
      <c r="N556" s="188" t="s">
        <v>1712</v>
      </c>
      <c r="O556">
        <v>634</v>
      </c>
      <c r="P556">
        <f>_xlfn.XLOOKUP(A556,'[1]Classic Net to delete'!D:D,'[1]Classic Net to delete'!AA:AA,0)</f>
        <v>0</v>
      </c>
    </row>
    <row r="557" spans="1:16" x14ac:dyDescent="0.25">
      <c r="A557" t="s">
        <v>2960</v>
      </c>
      <c r="B557" t="s">
        <v>2961</v>
      </c>
      <c r="C557">
        <v>0</v>
      </c>
      <c r="D557" t="s">
        <v>1630</v>
      </c>
      <c r="E557" t="str">
        <f>CONCATENATE(J557,". ",N557)</f>
        <v>. TBC</v>
      </c>
      <c r="F557">
        <v>75</v>
      </c>
      <c r="G557" t="b">
        <v>0</v>
      </c>
      <c r="H557">
        <v>0</v>
      </c>
      <c r="K557" s="188">
        <f>IFERROR(_xlfn.XLOOKUP(A557,[1]Fleet!A:A,[1]Fleet!E:E,""),"")</f>
        <v>30</v>
      </c>
      <c r="L557" s="188" t="s">
        <v>76</v>
      </c>
      <c r="M557" s="188" t="s">
        <v>76</v>
      </c>
      <c r="N557" s="188" t="s">
        <v>1712</v>
      </c>
      <c r="O557">
        <v>600</v>
      </c>
      <c r="P557">
        <f>_xlfn.XLOOKUP(A557,'[1]Classic Net to delete'!D:D,'[1]Classic Net to delete'!AA:AA,0)</f>
        <v>0</v>
      </c>
    </row>
    <row r="558" spans="1:16" x14ac:dyDescent="0.25">
      <c r="A558" t="s">
        <v>2960</v>
      </c>
      <c r="B558" t="s">
        <v>2962</v>
      </c>
      <c r="C558">
        <v>0</v>
      </c>
      <c r="D558" t="s">
        <v>1630</v>
      </c>
      <c r="E558" t="str">
        <f>CONCATENATE(J558,". ",N558)</f>
        <v>. TBC</v>
      </c>
      <c r="F558">
        <v>75</v>
      </c>
      <c r="G558" t="b">
        <v>0</v>
      </c>
      <c r="H558">
        <v>0</v>
      </c>
      <c r="K558" s="188">
        <f>IFERROR(_xlfn.XLOOKUP(A558,[1]Fleet!A:A,[1]Fleet!E:E,""),"")</f>
        <v>30</v>
      </c>
      <c r="L558" s="188" t="s">
        <v>76</v>
      </c>
      <c r="M558" s="188" t="s">
        <v>76</v>
      </c>
      <c r="N558" s="188" t="s">
        <v>1712</v>
      </c>
      <c r="O558">
        <v>604</v>
      </c>
      <c r="P558">
        <f>_xlfn.XLOOKUP(A558,'[1]Classic Net to delete'!D:D,'[1]Classic Net to delete'!AA:AA,0)</f>
        <v>0</v>
      </c>
    </row>
    <row r="559" spans="1:16" x14ac:dyDescent="0.25">
      <c r="A559" t="s">
        <v>2960</v>
      </c>
      <c r="B559" t="s">
        <v>2963</v>
      </c>
      <c r="C559">
        <v>0</v>
      </c>
      <c r="D559" t="s">
        <v>1630</v>
      </c>
      <c r="E559" t="str">
        <f>CONCATENATE(J559,". ",N559)</f>
        <v>. TBC</v>
      </c>
      <c r="F559">
        <v>75</v>
      </c>
      <c r="G559" t="b">
        <v>0</v>
      </c>
      <c r="H559">
        <v>0</v>
      </c>
      <c r="K559" s="188">
        <f>IFERROR(_xlfn.XLOOKUP(A559,[1]Fleet!A:A,[1]Fleet!E:E,""),"")</f>
        <v>30</v>
      </c>
      <c r="L559" s="188" t="s">
        <v>76</v>
      </c>
      <c r="M559" s="188" t="s">
        <v>76</v>
      </c>
      <c r="N559" s="188" t="s">
        <v>1712</v>
      </c>
      <c r="O559">
        <v>605</v>
      </c>
      <c r="P559">
        <f>_xlfn.XLOOKUP(A559,'[1]Classic Net to delete'!D:D,'[1]Classic Net to delete'!AA:AA,0)</f>
        <v>0</v>
      </c>
    </row>
    <row r="560" spans="1:16" x14ac:dyDescent="0.25">
      <c r="A560" t="s">
        <v>2960</v>
      </c>
      <c r="B560" t="s">
        <v>2964</v>
      </c>
      <c r="C560">
        <v>0</v>
      </c>
      <c r="D560" t="s">
        <v>1630</v>
      </c>
      <c r="E560" t="str">
        <f>CONCATENATE(J560,". ",N560)</f>
        <v>. TBC</v>
      </c>
      <c r="F560">
        <v>75</v>
      </c>
      <c r="G560" t="b">
        <v>0</v>
      </c>
      <c r="H560">
        <v>0</v>
      </c>
      <c r="K560" s="188">
        <f>IFERROR(_xlfn.XLOOKUP(A560,[1]Fleet!A:A,[1]Fleet!E:E,""),"")</f>
        <v>30</v>
      </c>
      <c r="L560" s="188" t="s">
        <v>76</v>
      </c>
      <c r="M560" s="188" t="s">
        <v>76</v>
      </c>
      <c r="N560" s="188" t="s">
        <v>1712</v>
      </c>
      <c r="O560">
        <v>606</v>
      </c>
      <c r="P560">
        <f>_xlfn.XLOOKUP(A560,'[1]Classic Net to delete'!D:D,'[1]Classic Net to delete'!AA:AA,0)</f>
        <v>0</v>
      </c>
    </row>
    <row r="561" spans="1:16" x14ac:dyDescent="0.25">
      <c r="A561" t="s">
        <v>2960</v>
      </c>
      <c r="B561" t="s">
        <v>2965</v>
      </c>
      <c r="C561">
        <v>0</v>
      </c>
      <c r="D561" t="s">
        <v>1630</v>
      </c>
      <c r="E561" t="str">
        <f>CONCATENATE(J561,". ",N561)</f>
        <v>. TBC</v>
      </c>
      <c r="F561">
        <v>75</v>
      </c>
      <c r="G561" t="b">
        <v>0</v>
      </c>
      <c r="H561">
        <v>0</v>
      </c>
      <c r="K561" s="188">
        <f>IFERROR(_xlfn.XLOOKUP(A561,[1]Fleet!A:A,[1]Fleet!E:E,""),"")</f>
        <v>30</v>
      </c>
      <c r="L561" s="188" t="s">
        <v>76</v>
      </c>
      <c r="M561" s="188" t="s">
        <v>76</v>
      </c>
      <c r="N561" s="188" t="s">
        <v>1712</v>
      </c>
      <c r="O561">
        <v>607</v>
      </c>
      <c r="P561">
        <f>_xlfn.XLOOKUP(A561,'[1]Classic Net to delete'!D:D,'[1]Classic Net to delete'!AA:AA,0)</f>
        <v>0</v>
      </c>
    </row>
    <row r="562" spans="1:16" x14ac:dyDescent="0.25">
      <c r="A562" t="s">
        <v>2960</v>
      </c>
      <c r="B562" t="s">
        <v>2966</v>
      </c>
      <c r="C562">
        <v>0</v>
      </c>
      <c r="D562" t="s">
        <v>1630</v>
      </c>
      <c r="E562" t="str">
        <f>CONCATENATE(J562,". ",N562)</f>
        <v>. TBC</v>
      </c>
      <c r="F562">
        <v>75</v>
      </c>
      <c r="G562" t="b">
        <v>0</v>
      </c>
      <c r="H562">
        <v>0</v>
      </c>
      <c r="K562" s="188">
        <f>IFERROR(_xlfn.XLOOKUP(A562,[1]Fleet!A:A,[1]Fleet!E:E,""),"")</f>
        <v>30</v>
      </c>
      <c r="L562" s="188" t="s">
        <v>76</v>
      </c>
      <c r="M562" s="188" t="s">
        <v>76</v>
      </c>
      <c r="N562" s="188" t="s">
        <v>1712</v>
      </c>
      <c r="O562">
        <v>608</v>
      </c>
      <c r="P562">
        <f>_xlfn.XLOOKUP(A562,'[1]Classic Net to delete'!D:D,'[1]Classic Net to delete'!AA:AA,0)</f>
        <v>0</v>
      </c>
    </row>
    <row r="563" spans="1:16" x14ac:dyDescent="0.25">
      <c r="A563" t="s">
        <v>2960</v>
      </c>
      <c r="B563" t="s">
        <v>2967</v>
      </c>
      <c r="C563">
        <v>0</v>
      </c>
      <c r="D563" t="s">
        <v>1630</v>
      </c>
      <c r="E563" t="str">
        <f>CONCATENATE(J563,". ",N563)</f>
        <v>. TBC</v>
      </c>
      <c r="F563">
        <v>75</v>
      </c>
      <c r="G563" t="b">
        <v>0</v>
      </c>
      <c r="H563">
        <v>0</v>
      </c>
      <c r="K563" s="188">
        <f>IFERROR(_xlfn.XLOOKUP(A563,[1]Fleet!A:A,[1]Fleet!E:E,""),"")</f>
        <v>30</v>
      </c>
      <c r="L563" s="188" t="s">
        <v>76</v>
      </c>
      <c r="M563" s="188" t="s">
        <v>76</v>
      </c>
      <c r="N563" s="188" t="s">
        <v>1712</v>
      </c>
      <c r="O563">
        <v>609</v>
      </c>
      <c r="P563">
        <f>_xlfn.XLOOKUP(A563,'[1]Classic Net to delete'!D:D,'[1]Classic Net to delete'!AA:AA,0)</f>
        <v>0</v>
      </c>
    </row>
    <row r="564" spans="1:16" x14ac:dyDescent="0.25">
      <c r="A564" t="s">
        <v>2960</v>
      </c>
      <c r="B564" t="s">
        <v>2968</v>
      </c>
      <c r="C564">
        <v>0</v>
      </c>
      <c r="D564" t="s">
        <v>1630</v>
      </c>
      <c r="E564" t="str">
        <f>CONCATENATE(J564,". ",N564)</f>
        <v>. TBC</v>
      </c>
      <c r="F564">
        <v>75</v>
      </c>
      <c r="G564" t="b">
        <v>0</v>
      </c>
      <c r="H564">
        <v>0</v>
      </c>
      <c r="K564" s="188">
        <f>IFERROR(_xlfn.XLOOKUP(A564,[1]Fleet!A:A,[1]Fleet!E:E,""),"")</f>
        <v>30</v>
      </c>
      <c r="L564" s="188" t="s">
        <v>76</v>
      </c>
      <c r="M564" s="188" t="s">
        <v>76</v>
      </c>
      <c r="N564" s="188" t="s">
        <v>1712</v>
      </c>
      <c r="O564">
        <v>610</v>
      </c>
      <c r="P564">
        <f>_xlfn.XLOOKUP(A564,'[1]Classic Net to delete'!D:D,'[1]Classic Net to delete'!AA:AA,0)</f>
        <v>0</v>
      </c>
    </row>
    <row r="565" spans="1:16" x14ac:dyDescent="0.25">
      <c r="A565" t="s">
        <v>2960</v>
      </c>
      <c r="B565" t="s">
        <v>2969</v>
      </c>
      <c r="C565">
        <v>0</v>
      </c>
      <c r="D565" t="s">
        <v>1630</v>
      </c>
      <c r="E565" t="str">
        <f>CONCATENATE(J565,". ",N565)</f>
        <v>. TBC</v>
      </c>
      <c r="F565">
        <v>75</v>
      </c>
      <c r="G565" t="b">
        <v>0</v>
      </c>
      <c r="H565">
        <v>0</v>
      </c>
      <c r="K565" s="188">
        <f>IFERROR(_xlfn.XLOOKUP(A565,[1]Fleet!A:A,[1]Fleet!E:E,""),"")</f>
        <v>30</v>
      </c>
      <c r="L565" s="188" t="s">
        <v>76</v>
      </c>
      <c r="M565" s="188" t="s">
        <v>76</v>
      </c>
      <c r="N565" s="188" t="s">
        <v>1712</v>
      </c>
      <c r="O565">
        <v>611</v>
      </c>
      <c r="P565">
        <f>_xlfn.XLOOKUP(A565,'[1]Classic Net to delete'!D:D,'[1]Classic Net to delete'!AA:AA,0)</f>
        <v>0</v>
      </c>
    </row>
    <row r="566" spans="1:16" x14ac:dyDescent="0.25">
      <c r="A566" t="s">
        <v>2960</v>
      </c>
      <c r="B566" t="s">
        <v>2970</v>
      </c>
      <c r="C566">
        <v>0</v>
      </c>
      <c r="D566" t="s">
        <v>1630</v>
      </c>
      <c r="E566" t="str">
        <f>CONCATENATE(J566,". ",N566)</f>
        <v>. TBC</v>
      </c>
      <c r="F566">
        <v>75</v>
      </c>
      <c r="G566" t="b">
        <v>0</v>
      </c>
      <c r="H566">
        <v>0</v>
      </c>
      <c r="K566" s="188">
        <f>IFERROR(_xlfn.XLOOKUP(A566,[1]Fleet!A:A,[1]Fleet!E:E,""),"")</f>
        <v>30</v>
      </c>
      <c r="L566" s="188" t="s">
        <v>76</v>
      </c>
      <c r="M566" s="188" t="s">
        <v>76</v>
      </c>
      <c r="N566" s="188" t="s">
        <v>1712</v>
      </c>
      <c r="O566">
        <v>612</v>
      </c>
      <c r="P566">
        <f>_xlfn.XLOOKUP(A566,'[1]Classic Net to delete'!D:D,'[1]Classic Net to delete'!AA:AA,0)</f>
        <v>0</v>
      </c>
    </row>
    <row r="567" spans="1:16" x14ac:dyDescent="0.25">
      <c r="A567" t="s">
        <v>2960</v>
      </c>
      <c r="B567" t="s">
        <v>2971</v>
      </c>
      <c r="C567">
        <v>0</v>
      </c>
      <c r="D567" t="s">
        <v>1630</v>
      </c>
      <c r="E567" t="str">
        <f>CONCATENATE(J567,". ",N567)</f>
        <v>. TBC</v>
      </c>
      <c r="F567">
        <v>75</v>
      </c>
      <c r="G567" t="b">
        <v>0</v>
      </c>
      <c r="H567">
        <v>0</v>
      </c>
      <c r="K567" s="188">
        <f>IFERROR(_xlfn.XLOOKUP(A567,[1]Fleet!A:A,[1]Fleet!E:E,""),"")</f>
        <v>30</v>
      </c>
      <c r="L567" s="188" t="s">
        <v>76</v>
      </c>
      <c r="M567" s="188" t="s">
        <v>76</v>
      </c>
      <c r="N567" s="188" t="s">
        <v>1712</v>
      </c>
      <c r="O567">
        <v>613</v>
      </c>
      <c r="P567">
        <f>_xlfn.XLOOKUP(A567,'[1]Classic Net to delete'!D:D,'[1]Classic Net to delete'!AA:AA,0)</f>
        <v>0</v>
      </c>
    </row>
    <row r="568" spans="1:16" x14ac:dyDescent="0.25">
      <c r="A568" t="s">
        <v>2960</v>
      </c>
      <c r="B568" t="s">
        <v>2972</v>
      </c>
      <c r="C568">
        <v>0</v>
      </c>
      <c r="D568" t="s">
        <v>1630</v>
      </c>
      <c r="E568" t="str">
        <f>CONCATENATE(J568,". ",N568)</f>
        <v>. TBC</v>
      </c>
      <c r="F568">
        <v>75</v>
      </c>
      <c r="G568" t="b">
        <v>0</v>
      </c>
      <c r="H568">
        <v>0</v>
      </c>
      <c r="K568" s="188">
        <f>IFERROR(_xlfn.XLOOKUP(A568,[1]Fleet!A:A,[1]Fleet!E:E,""),"")</f>
        <v>30</v>
      </c>
      <c r="L568" s="188" t="s">
        <v>76</v>
      </c>
      <c r="M568" s="188" t="s">
        <v>76</v>
      </c>
      <c r="N568" s="188" t="s">
        <v>1712</v>
      </c>
      <c r="O568">
        <v>614</v>
      </c>
      <c r="P568">
        <f>_xlfn.XLOOKUP(A568,'[1]Classic Net to delete'!D:D,'[1]Classic Net to delete'!AA:AA,0)</f>
        <v>0</v>
      </c>
    </row>
    <row r="569" spans="1:16" x14ac:dyDescent="0.25">
      <c r="A569" t="s">
        <v>2960</v>
      </c>
      <c r="B569" t="s">
        <v>2973</v>
      </c>
      <c r="C569">
        <v>0</v>
      </c>
      <c r="D569" t="s">
        <v>1630</v>
      </c>
      <c r="E569" t="str">
        <f>CONCATENATE(J569,". ",N569)</f>
        <v>. TBC</v>
      </c>
      <c r="F569">
        <v>75</v>
      </c>
      <c r="G569" t="b">
        <v>0</v>
      </c>
      <c r="H569">
        <v>0</v>
      </c>
      <c r="K569" s="188">
        <f>IFERROR(_xlfn.XLOOKUP(A569,[1]Fleet!A:A,[1]Fleet!E:E,""),"")</f>
        <v>30</v>
      </c>
      <c r="L569" s="188" t="s">
        <v>76</v>
      </c>
      <c r="M569" s="188" t="s">
        <v>76</v>
      </c>
      <c r="N569" s="188" t="s">
        <v>1712</v>
      </c>
      <c r="O569">
        <v>615</v>
      </c>
      <c r="P569">
        <f>_xlfn.XLOOKUP(A569,'[1]Classic Net to delete'!D:D,'[1]Classic Net to delete'!AA:AA,0)</f>
        <v>0</v>
      </c>
    </row>
    <row r="570" spans="1:16" x14ac:dyDescent="0.25">
      <c r="A570" t="s">
        <v>2960</v>
      </c>
      <c r="B570" t="s">
        <v>2974</v>
      </c>
      <c r="C570">
        <v>0</v>
      </c>
      <c r="D570" t="s">
        <v>1630</v>
      </c>
      <c r="E570" t="str">
        <f>CONCATENATE(J570,". ",N570)</f>
        <v>. TBC</v>
      </c>
      <c r="F570">
        <v>75</v>
      </c>
      <c r="G570" t="b">
        <v>0</v>
      </c>
      <c r="H570">
        <v>0</v>
      </c>
      <c r="K570" s="188">
        <f>IFERROR(_xlfn.XLOOKUP(A570,[1]Fleet!A:A,[1]Fleet!E:E,""),"")</f>
        <v>30</v>
      </c>
      <c r="L570" s="188" t="s">
        <v>76</v>
      </c>
      <c r="M570" s="188" t="s">
        <v>76</v>
      </c>
      <c r="N570" s="188" t="s">
        <v>1712</v>
      </c>
      <c r="O570">
        <v>616</v>
      </c>
      <c r="P570">
        <f>_xlfn.XLOOKUP(A570,'[1]Classic Net to delete'!D:D,'[1]Classic Net to delete'!AA:AA,0)</f>
        <v>0</v>
      </c>
    </row>
    <row r="571" spans="1:16" x14ac:dyDescent="0.25">
      <c r="A571" t="s">
        <v>2960</v>
      </c>
      <c r="B571" t="s">
        <v>2975</v>
      </c>
      <c r="C571">
        <v>0</v>
      </c>
      <c r="D571" t="s">
        <v>1630</v>
      </c>
      <c r="E571" t="str">
        <f>CONCATENATE(J571,". ",N571)</f>
        <v>. TBC</v>
      </c>
      <c r="F571">
        <v>75</v>
      </c>
      <c r="G571" t="b">
        <v>0</v>
      </c>
      <c r="H571">
        <v>0</v>
      </c>
      <c r="K571" s="188">
        <f>IFERROR(_xlfn.XLOOKUP(A571,[1]Fleet!A:A,[1]Fleet!E:E,""),"")</f>
        <v>30</v>
      </c>
      <c r="L571" s="188" t="s">
        <v>76</v>
      </c>
      <c r="M571" s="188" t="s">
        <v>76</v>
      </c>
      <c r="N571" s="188" t="s">
        <v>1712</v>
      </c>
      <c r="O571">
        <v>617</v>
      </c>
      <c r="P571">
        <f>_xlfn.XLOOKUP(A571,'[1]Classic Net to delete'!D:D,'[1]Classic Net to delete'!AA:AA,0)</f>
        <v>0</v>
      </c>
    </row>
    <row r="572" spans="1:16" x14ac:dyDescent="0.25">
      <c r="A572" t="s">
        <v>2960</v>
      </c>
      <c r="B572" t="s">
        <v>2976</v>
      </c>
      <c r="C572">
        <v>0</v>
      </c>
      <c r="D572" t="s">
        <v>1630</v>
      </c>
      <c r="E572" t="str">
        <f>CONCATENATE(J572,". ",N572)</f>
        <v>. TBC</v>
      </c>
      <c r="F572">
        <v>75</v>
      </c>
      <c r="G572" t="b">
        <v>0</v>
      </c>
      <c r="H572">
        <v>0</v>
      </c>
      <c r="K572" s="188">
        <f>IFERROR(_xlfn.XLOOKUP(A572,[1]Fleet!A:A,[1]Fleet!E:E,""),"")</f>
        <v>30</v>
      </c>
      <c r="L572" s="188" t="s">
        <v>76</v>
      </c>
      <c r="M572" s="188" t="s">
        <v>76</v>
      </c>
      <c r="N572" s="188" t="s">
        <v>1712</v>
      </c>
      <c r="O572">
        <v>618</v>
      </c>
      <c r="P572">
        <f>_xlfn.XLOOKUP(A572,'[1]Classic Net to delete'!D:D,'[1]Classic Net to delete'!AA:AA,0)</f>
        <v>0</v>
      </c>
    </row>
    <row r="573" spans="1:16" x14ac:dyDescent="0.25">
      <c r="A573" t="s">
        <v>2960</v>
      </c>
      <c r="B573" t="s">
        <v>2977</v>
      </c>
      <c r="C573">
        <v>0</v>
      </c>
      <c r="D573" t="s">
        <v>1630</v>
      </c>
      <c r="E573" t="str">
        <f>CONCATENATE(J573,". ",N573)</f>
        <v>. TBC</v>
      </c>
      <c r="F573">
        <v>75</v>
      </c>
      <c r="G573" t="b">
        <v>0</v>
      </c>
      <c r="H573">
        <v>0</v>
      </c>
      <c r="K573" s="188">
        <f>IFERROR(_xlfn.XLOOKUP(A573,[1]Fleet!A:A,[1]Fleet!E:E,""),"")</f>
        <v>30</v>
      </c>
      <c r="L573" s="188" t="s">
        <v>76</v>
      </c>
      <c r="M573" s="188" t="s">
        <v>76</v>
      </c>
      <c r="N573" s="188" t="s">
        <v>1712</v>
      </c>
      <c r="O573">
        <v>619</v>
      </c>
      <c r="P573">
        <f>_xlfn.XLOOKUP(A573,'[1]Classic Net to delete'!D:D,'[1]Classic Net to delete'!AA:AA,0)</f>
        <v>0</v>
      </c>
    </row>
    <row r="574" spans="1:16" x14ac:dyDescent="0.25">
      <c r="A574" t="s">
        <v>2960</v>
      </c>
      <c r="B574" t="s">
        <v>2978</v>
      </c>
      <c r="C574">
        <v>0</v>
      </c>
      <c r="D574" t="s">
        <v>1630</v>
      </c>
      <c r="E574" t="str">
        <f>CONCATENATE(J574,". ",N574)</f>
        <v>. TBC</v>
      </c>
      <c r="F574">
        <v>75</v>
      </c>
      <c r="G574" t="b">
        <v>0</v>
      </c>
      <c r="H574">
        <v>0</v>
      </c>
      <c r="K574" s="188">
        <f>IFERROR(_xlfn.XLOOKUP(A574,[1]Fleet!A:A,[1]Fleet!E:E,""),"")</f>
        <v>30</v>
      </c>
      <c r="L574" s="188" t="s">
        <v>76</v>
      </c>
      <c r="M574" s="188" t="s">
        <v>76</v>
      </c>
      <c r="N574" s="188" t="s">
        <v>1712</v>
      </c>
      <c r="O574">
        <v>620</v>
      </c>
      <c r="P574">
        <f>_xlfn.XLOOKUP(A574,'[1]Classic Net to delete'!D:D,'[1]Classic Net to delete'!AA:AA,0)</f>
        <v>0</v>
      </c>
    </row>
    <row r="575" spans="1:16" x14ac:dyDescent="0.25">
      <c r="A575" t="s">
        <v>2960</v>
      </c>
      <c r="B575" t="s">
        <v>2979</v>
      </c>
      <c r="C575">
        <v>0</v>
      </c>
      <c r="D575" t="s">
        <v>1630</v>
      </c>
      <c r="E575" t="str">
        <f>CONCATENATE(J575,". ",N575)</f>
        <v>. TBC</v>
      </c>
      <c r="F575">
        <v>75</v>
      </c>
      <c r="G575" t="b">
        <v>0</v>
      </c>
      <c r="H575">
        <v>0</v>
      </c>
      <c r="K575" s="188">
        <f>IFERROR(_xlfn.XLOOKUP(A575,[1]Fleet!A:A,[1]Fleet!E:E,""),"")</f>
        <v>30</v>
      </c>
      <c r="L575" s="188" t="s">
        <v>76</v>
      </c>
      <c r="M575" s="188" t="s">
        <v>76</v>
      </c>
      <c r="N575" s="188" t="s">
        <v>1712</v>
      </c>
      <c r="O575">
        <v>621</v>
      </c>
      <c r="P575">
        <f>_xlfn.XLOOKUP(A575,'[1]Classic Net to delete'!D:D,'[1]Classic Net to delete'!AA:AA,0)</f>
        <v>0</v>
      </c>
    </row>
    <row r="576" spans="1:16" x14ac:dyDescent="0.25">
      <c r="A576" t="s">
        <v>2960</v>
      </c>
      <c r="B576" t="s">
        <v>2980</v>
      </c>
      <c r="C576">
        <v>0</v>
      </c>
      <c r="D576" t="s">
        <v>1630</v>
      </c>
      <c r="E576" t="str">
        <f>CONCATENATE(J576,". ",N576)</f>
        <v>. TBC</v>
      </c>
      <c r="F576">
        <v>75</v>
      </c>
      <c r="G576" t="b">
        <v>0</v>
      </c>
      <c r="H576">
        <v>0</v>
      </c>
      <c r="K576" s="188">
        <f>IFERROR(_xlfn.XLOOKUP(A576,[1]Fleet!A:A,[1]Fleet!E:E,""),"")</f>
        <v>30</v>
      </c>
      <c r="L576" s="188" t="s">
        <v>76</v>
      </c>
      <c r="M576" s="188" t="s">
        <v>76</v>
      </c>
      <c r="N576" s="188" t="s">
        <v>1712</v>
      </c>
      <c r="O576">
        <v>622</v>
      </c>
      <c r="P576">
        <f>_xlfn.XLOOKUP(A576,'[1]Classic Net to delete'!D:D,'[1]Classic Net to delete'!AA:AA,0)</f>
        <v>0</v>
      </c>
    </row>
    <row r="577" spans="1:16" x14ac:dyDescent="0.25">
      <c r="A577" t="s">
        <v>2960</v>
      </c>
      <c r="B577" t="s">
        <v>2981</v>
      </c>
      <c r="C577">
        <v>0</v>
      </c>
      <c r="D577" t="s">
        <v>1630</v>
      </c>
      <c r="E577" t="str">
        <f>CONCATENATE(J577,". ",N577)</f>
        <v>. TBC</v>
      </c>
      <c r="F577">
        <v>75</v>
      </c>
      <c r="G577" t="b">
        <v>0</v>
      </c>
      <c r="H577">
        <v>0</v>
      </c>
      <c r="K577" s="188">
        <f>IFERROR(_xlfn.XLOOKUP(A577,[1]Fleet!A:A,[1]Fleet!E:E,""),"")</f>
        <v>30</v>
      </c>
      <c r="L577" s="188" t="s">
        <v>76</v>
      </c>
      <c r="M577" s="188" t="s">
        <v>76</v>
      </c>
      <c r="N577" s="188" t="s">
        <v>1712</v>
      </c>
      <c r="O577">
        <v>623</v>
      </c>
      <c r="P577">
        <f>_xlfn.XLOOKUP(A577,'[1]Classic Net to delete'!D:D,'[1]Classic Net to delete'!AA:AA,0)</f>
        <v>0</v>
      </c>
    </row>
    <row r="578" spans="1:16" x14ac:dyDescent="0.25">
      <c r="A578" t="s">
        <v>2960</v>
      </c>
      <c r="B578" t="s">
        <v>2982</v>
      </c>
      <c r="C578">
        <v>0</v>
      </c>
      <c r="D578" t="s">
        <v>1630</v>
      </c>
      <c r="E578" t="str">
        <f>CONCATENATE(J578,". ",N578)</f>
        <v>. TBC</v>
      </c>
      <c r="F578">
        <v>75</v>
      </c>
      <c r="G578" t="b">
        <v>0</v>
      </c>
      <c r="H578">
        <v>0</v>
      </c>
      <c r="K578" s="188">
        <f>IFERROR(_xlfn.XLOOKUP(A578,[1]Fleet!A:A,[1]Fleet!E:E,""),"")</f>
        <v>30</v>
      </c>
      <c r="L578" s="188" t="s">
        <v>76</v>
      </c>
      <c r="M578" s="188" t="s">
        <v>76</v>
      </c>
      <c r="N578" s="188" t="s">
        <v>1712</v>
      </c>
      <c r="O578">
        <v>624</v>
      </c>
      <c r="P578">
        <f>_xlfn.XLOOKUP(A578,'[1]Classic Net to delete'!D:D,'[1]Classic Net to delete'!AA:AA,0)</f>
        <v>0</v>
      </c>
    </row>
    <row r="579" spans="1:16" x14ac:dyDescent="0.25">
      <c r="A579" t="s">
        <v>2960</v>
      </c>
      <c r="B579" t="s">
        <v>2983</v>
      </c>
      <c r="C579">
        <v>0</v>
      </c>
      <c r="D579" t="s">
        <v>1630</v>
      </c>
      <c r="E579" t="str">
        <f>CONCATENATE(J579,". ",N579)</f>
        <v>. TBC</v>
      </c>
      <c r="F579">
        <v>75</v>
      </c>
      <c r="G579" t="b">
        <v>0</v>
      </c>
      <c r="H579">
        <v>0</v>
      </c>
      <c r="K579" s="188">
        <f>IFERROR(_xlfn.XLOOKUP(A579,[1]Fleet!A:A,[1]Fleet!E:E,""),"")</f>
        <v>30</v>
      </c>
      <c r="L579" s="188" t="s">
        <v>76</v>
      </c>
      <c r="M579" s="188" t="s">
        <v>76</v>
      </c>
      <c r="N579" s="188" t="s">
        <v>1712</v>
      </c>
      <c r="O579">
        <v>625</v>
      </c>
      <c r="P579">
        <f>_xlfn.XLOOKUP(A579,'[1]Classic Net to delete'!D:D,'[1]Classic Net to delete'!AA:AA,0)</f>
        <v>0</v>
      </c>
    </row>
    <row r="580" spans="1:16" x14ac:dyDescent="0.25">
      <c r="A580" t="s">
        <v>2960</v>
      </c>
      <c r="B580" t="s">
        <v>2984</v>
      </c>
      <c r="C580">
        <v>0</v>
      </c>
      <c r="D580" t="s">
        <v>1630</v>
      </c>
      <c r="E580" t="str">
        <f>CONCATENATE(J580,". ",N580)</f>
        <v>. TBC</v>
      </c>
      <c r="F580">
        <v>75</v>
      </c>
      <c r="G580" t="b">
        <v>0</v>
      </c>
      <c r="H580">
        <v>0</v>
      </c>
      <c r="K580" s="188">
        <f>IFERROR(_xlfn.XLOOKUP(A580,[1]Fleet!A:A,[1]Fleet!E:E,""),"")</f>
        <v>30</v>
      </c>
      <c r="L580" s="188" t="s">
        <v>76</v>
      </c>
      <c r="M580" s="188" t="s">
        <v>76</v>
      </c>
      <c r="N580" s="188" t="s">
        <v>1712</v>
      </c>
      <c r="O580">
        <v>626</v>
      </c>
      <c r="P580">
        <f>_xlfn.XLOOKUP(A580,'[1]Classic Net to delete'!D:D,'[1]Classic Net to delete'!AA:AA,0)</f>
        <v>0</v>
      </c>
    </row>
    <row r="581" spans="1:16" x14ac:dyDescent="0.25">
      <c r="A581" t="s">
        <v>2960</v>
      </c>
      <c r="B581" t="s">
        <v>2985</v>
      </c>
      <c r="C581">
        <v>0</v>
      </c>
      <c r="D581" t="s">
        <v>1630</v>
      </c>
      <c r="E581" t="str">
        <f>CONCATENATE(J581,". ",N581)</f>
        <v>. TBC</v>
      </c>
      <c r="F581">
        <v>75</v>
      </c>
      <c r="G581" t="b">
        <v>0</v>
      </c>
      <c r="H581">
        <v>0</v>
      </c>
      <c r="K581" s="188">
        <f>IFERROR(_xlfn.XLOOKUP(A581,[1]Fleet!A:A,[1]Fleet!E:E,""),"")</f>
        <v>30</v>
      </c>
      <c r="L581" s="188" t="s">
        <v>76</v>
      </c>
      <c r="M581" s="188" t="s">
        <v>76</v>
      </c>
      <c r="N581" s="188" t="s">
        <v>1712</v>
      </c>
      <c r="O581">
        <v>627</v>
      </c>
      <c r="P581">
        <f>_xlfn.XLOOKUP(A581,'[1]Classic Net to delete'!D:D,'[1]Classic Net to delete'!AA:AA,0)</f>
        <v>0</v>
      </c>
    </row>
    <row r="582" spans="1:16" x14ac:dyDescent="0.25">
      <c r="A582" t="s">
        <v>2960</v>
      </c>
      <c r="B582" t="s">
        <v>2986</v>
      </c>
      <c r="C582">
        <v>0</v>
      </c>
      <c r="D582" t="s">
        <v>1630</v>
      </c>
      <c r="E582" t="str">
        <f>CONCATENATE(J582,". ",N582)</f>
        <v>. TBC</v>
      </c>
      <c r="F582">
        <v>75</v>
      </c>
      <c r="G582" t="b">
        <v>0</v>
      </c>
      <c r="H582">
        <v>0</v>
      </c>
      <c r="K582" s="188">
        <f>IFERROR(_xlfn.XLOOKUP(A582,[1]Fleet!A:A,[1]Fleet!E:E,""),"")</f>
        <v>30</v>
      </c>
      <c r="L582" s="188" t="s">
        <v>76</v>
      </c>
      <c r="M582" s="188" t="s">
        <v>76</v>
      </c>
      <c r="N582" s="188" t="s">
        <v>1712</v>
      </c>
      <c r="O582">
        <v>628</v>
      </c>
      <c r="P582">
        <f>_xlfn.XLOOKUP(A582,'[1]Classic Net to delete'!D:D,'[1]Classic Net to delete'!AA:AA,0)</f>
        <v>0</v>
      </c>
    </row>
    <row r="583" spans="1:16" x14ac:dyDescent="0.25">
      <c r="A583" t="s">
        <v>2960</v>
      </c>
      <c r="B583" t="s">
        <v>2987</v>
      </c>
      <c r="C583">
        <v>0</v>
      </c>
      <c r="D583" t="s">
        <v>1630</v>
      </c>
      <c r="E583" t="str">
        <f>CONCATENATE(J583,". ",N583)</f>
        <v>. TBC</v>
      </c>
      <c r="F583">
        <v>75</v>
      </c>
      <c r="G583" t="b">
        <v>0</v>
      </c>
      <c r="H583">
        <v>0</v>
      </c>
      <c r="K583" s="188">
        <f>IFERROR(_xlfn.XLOOKUP(A583,[1]Fleet!A:A,[1]Fleet!E:E,""),"")</f>
        <v>30</v>
      </c>
      <c r="L583" s="188" t="s">
        <v>76</v>
      </c>
      <c r="M583" s="188" t="s">
        <v>76</v>
      </c>
      <c r="N583" s="188" t="s">
        <v>1712</v>
      </c>
      <c r="O583">
        <v>629</v>
      </c>
      <c r="P583">
        <f>_xlfn.XLOOKUP(A583,'[1]Classic Net to delete'!D:D,'[1]Classic Net to delete'!AA:AA,0)</f>
        <v>0</v>
      </c>
    </row>
    <row r="584" spans="1:16" x14ac:dyDescent="0.25">
      <c r="A584" t="s">
        <v>2960</v>
      </c>
      <c r="B584" t="s">
        <v>2988</v>
      </c>
      <c r="C584">
        <v>0</v>
      </c>
      <c r="D584" t="s">
        <v>1630</v>
      </c>
      <c r="E584" t="str">
        <f>CONCATENATE(J584,". ",N584)</f>
        <v>. TBC</v>
      </c>
      <c r="F584">
        <v>75</v>
      </c>
      <c r="G584" t="b">
        <v>0</v>
      </c>
      <c r="H584">
        <v>0</v>
      </c>
      <c r="K584" s="188">
        <f>IFERROR(_xlfn.XLOOKUP(A584,[1]Fleet!A:A,[1]Fleet!E:E,""),"")</f>
        <v>30</v>
      </c>
      <c r="L584" s="188" t="s">
        <v>76</v>
      </c>
      <c r="M584" s="188" t="s">
        <v>76</v>
      </c>
      <c r="N584" s="188" t="s">
        <v>1712</v>
      </c>
      <c r="O584">
        <v>630</v>
      </c>
      <c r="P584">
        <f>_xlfn.XLOOKUP(A584,'[1]Classic Net to delete'!D:D,'[1]Classic Net to delete'!AA:AA,0)</f>
        <v>0</v>
      </c>
    </row>
    <row r="585" spans="1:16" x14ac:dyDescent="0.25">
      <c r="A585" t="s">
        <v>2960</v>
      </c>
      <c r="B585" t="s">
        <v>2989</v>
      </c>
      <c r="C585">
        <v>0</v>
      </c>
      <c r="D585" t="s">
        <v>1630</v>
      </c>
      <c r="E585" t="str">
        <f>CONCATENATE(J585,". ",N585)</f>
        <v>. TBC</v>
      </c>
      <c r="F585">
        <v>75</v>
      </c>
      <c r="G585" t="b">
        <v>0</v>
      </c>
      <c r="H585">
        <v>0</v>
      </c>
      <c r="K585" s="188">
        <f>IFERROR(_xlfn.XLOOKUP(A585,[1]Fleet!A:A,[1]Fleet!E:E,""),"")</f>
        <v>30</v>
      </c>
      <c r="L585" s="188" t="s">
        <v>76</v>
      </c>
      <c r="M585" s="188" t="s">
        <v>76</v>
      </c>
      <c r="N585" s="188" t="s">
        <v>1712</v>
      </c>
      <c r="O585">
        <v>631</v>
      </c>
      <c r="P585">
        <f>_xlfn.XLOOKUP(A585,'[1]Classic Net to delete'!D:D,'[1]Classic Net to delete'!AA:AA,0)</f>
        <v>0</v>
      </c>
    </row>
    <row r="586" spans="1:16" x14ac:dyDescent="0.25">
      <c r="A586" t="s">
        <v>2960</v>
      </c>
      <c r="B586" t="s">
        <v>2990</v>
      </c>
      <c r="C586">
        <v>0</v>
      </c>
      <c r="D586" t="s">
        <v>1630</v>
      </c>
      <c r="E586" t="str">
        <f>CONCATENATE(J586,". ",N586)</f>
        <v>. TBC</v>
      </c>
      <c r="F586">
        <v>75</v>
      </c>
      <c r="G586" t="b">
        <v>0</v>
      </c>
      <c r="H586">
        <v>0</v>
      </c>
      <c r="K586" s="188">
        <f>IFERROR(_xlfn.XLOOKUP(A586,[1]Fleet!A:A,[1]Fleet!E:E,""),"")</f>
        <v>30</v>
      </c>
      <c r="L586" s="188" t="s">
        <v>76</v>
      </c>
      <c r="M586" s="188" t="s">
        <v>76</v>
      </c>
      <c r="N586" s="188" t="s">
        <v>1712</v>
      </c>
      <c r="O586">
        <v>632</v>
      </c>
      <c r="P586">
        <f>_xlfn.XLOOKUP(A586,'[1]Classic Net to delete'!D:D,'[1]Classic Net to delete'!AA:AA,0)</f>
        <v>0</v>
      </c>
    </row>
    <row r="587" spans="1:16" x14ac:dyDescent="0.25">
      <c r="A587" t="s">
        <v>1702</v>
      </c>
      <c r="B587" t="s">
        <v>1703</v>
      </c>
      <c r="C587">
        <v>36.01</v>
      </c>
      <c r="D587" t="s">
        <v>1630</v>
      </c>
      <c r="E587" t="str">
        <f>CONCATENATE(J587,". ",N587)</f>
        <v>. Trucks and Trolleys</v>
      </c>
      <c r="F587">
        <v>75</v>
      </c>
      <c r="G587" t="b">
        <v>0</v>
      </c>
      <c r="H587">
        <v>0</v>
      </c>
      <c r="K587" s="188">
        <f>IFERROR(_xlfn.XLOOKUP(A587,[1]Fleet!A:A,[1]Fleet!E:E,""),"")</f>
        <v>6</v>
      </c>
      <c r="L587" s="188" t="s">
        <v>76</v>
      </c>
      <c r="M587" s="188" t="s">
        <v>76</v>
      </c>
      <c r="N587" s="188" t="s">
        <v>1692</v>
      </c>
      <c r="O587">
        <v>659</v>
      </c>
      <c r="P587">
        <f>_xlfn.XLOOKUP(A587,'[1]Classic Net to delete'!D:D,'[1]Classic Net to delete'!AA:AA,0)</f>
        <v>0</v>
      </c>
    </row>
    <row r="588" spans="1:16" x14ac:dyDescent="0.25">
      <c r="A588" t="s">
        <v>1716</v>
      </c>
      <c r="B588" t="s">
        <v>1717</v>
      </c>
      <c r="C588">
        <v>55.27</v>
      </c>
      <c r="D588" t="s">
        <v>1630</v>
      </c>
      <c r="E588" t="str">
        <f>CONCATENATE(J588,". ",N588)</f>
        <v>. Trucks and Trolleys</v>
      </c>
      <c r="F588">
        <v>75</v>
      </c>
      <c r="G588" t="b">
        <v>0</v>
      </c>
      <c r="H588">
        <v>0</v>
      </c>
      <c r="K588" s="188">
        <f>IFERROR(_xlfn.XLOOKUP(A588,[1]Fleet!A:A,[1]Fleet!E:E,""),"")</f>
        <v>6</v>
      </c>
      <c r="L588" s="188" t="s">
        <v>76</v>
      </c>
      <c r="M588" s="188" t="s">
        <v>76</v>
      </c>
      <c r="N588" s="188" t="s">
        <v>1692</v>
      </c>
      <c r="O588">
        <v>650</v>
      </c>
      <c r="P588">
        <f>_xlfn.XLOOKUP(A588,'[1]Classic Net to delete'!D:D,'[1]Classic Net to delete'!AA:AA,0)</f>
        <v>0</v>
      </c>
    </row>
    <row r="589" spans="1:16" x14ac:dyDescent="0.25">
      <c r="A589" t="s">
        <v>1746</v>
      </c>
      <c r="B589" t="s">
        <v>1747</v>
      </c>
      <c r="C589">
        <v>30.98</v>
      </c>
      <c r="D589" t="s">
        <v>1630</v>
      </c>
      <c r="E589" t="str">
        <f>CONCATENATE(J589,". ",N589)</f>
        <v>. Trucks and Trolleys</v>
      </c>
      <c r="F589">
        <v>75</v>
      </c>
      <c r="G589" t="b">
        <v>0</v>
      </c>
      <c r="H589">
        <v>0</v>
      </c>
      <c r="K589" s="188">
        <f>IFERROR(_xlfn.XLOOKUP(A589,[1]Fleet!A:A,[1]Fleet!E:E,""),"")</f>
        <v>4</v>
      </c>
      <c r="L589" s="188" t="s">
        <v>76</v>
      </c>
      <c r="M589" s="188" t="s">
        <v>76</v>
      </c>
      <c r="N589" s="188" t="s">
        <v>1692</v>
      </c>
      <c r="O589">
        <v>657</v>
      </c>
      <c r="P589">
        <f>_xlfn.XLOOKUP(A589,'[1]Classic Net to delete'!D:D,'[1]Classic Net to delete'!AA:AA,0)</f>
        <v>0</v>
      </c>
    </row>
    <row r="590" spans="1:16" x14ac:dyDescent="0.25">
      <c r="A590" t="s">
        <v>1789</v>
      </c>
      <c r="B590" t="s">
        <v>1790</v>
      </c>
      <c r="C590">
        <v>80.2</v>
      </c>
      <c r="D590" t="s">
        <v>1630</v>
      </c>
      <c r="E590" t="str">
        <f>CONCATENATE(J590,". ",N590)</f>
        <v>. Trucks and Trolleys</v>
      </c>
      <c r="F590">
        <v>75</v>
      </c>
      <c r="G590" t="b">
        <v>0</v>
      </c>
      <c r="H590">
        <v>0</v>
      </c>
      <c r="K590" s="188">
        <f>IFERROR(_xlfn.XLOOKUP(A590,[1]Fleet!A:A,[1]Fleet!E:E,""),"")</f>
        <v>4</v>
      </c>
      <c r="L590" s="188" t="s">
        <v>76</v>
      </c>
      <c r="M590" s="188" t="s">
        <v>76</v>
      </c>
      <c r="N590" s="188" t="s">
        <v>1692</v>
      </c>
      <c r="O590">
        <v>652</v>
      </c>
      <c r="P590">
        <f>_xlfn.XLOOKUP(A590,'[1]Classic Net to delete'!D:D,'[1]Classic Net to delete'!AA:AA,0)</f>
        <v>0</v>
      </c>
    </row>
    <row r="591" spans="1:16" x14ac:dyDescent="0.25">
      <c r="A591" t="s">
        <v>1641</v>
      </c>
      <c r="B591" t="s">
        <v>1642</v>
      </c>
      <c r="C591">
        <v>48.26</v>
      </c>
      <c r="D591" t="s">
        <v>1630</v>
      </c>
      <c r="E591" t="str">
        <f>CONCATENATE(J591,". ",N591)</f>
        <v>01. Chain Hoist</v>
      </c>
      <c r="F591">
        <v>75</v>
      </c>
      <c r="G591" t="b">
        <v>1</v>
      </c>
      <c r="H591">
        <v>1056</v>
      </c>
      <c r="J591" s="193" t="s">
        <v>20</v>
      </c>
      <c r="K591" s="188">
        <f>IFERROR(_xlfn.XLOOKUP(A591,[1]Fleet!A:A,[1]Fleet!E:E,""),"")</f>
        <v>2</v>
      </c>
      <c r="L591" s="188">
        <v>45.1</v>
      </c>
      <c r="M591" s="188" t="s">
        <v>1643</v>
      </c>
      <c r="N591" s="188" t="s">
        <v>1644</v>
      </c>
      <c r="O591">
        <v>562</v>
      </c>
      <c r="P591">
        <f>_xlfn.XLOOKUP(A591,'[1]Classic Net to delete'!D:D,'[1]Classic Net to delete'!AA:AA,0)</f>
        <v>1056</v>
      </c>
    </row>
    <row r="592" spans="1:16" x14ac:dyDescent="0.25">
      <c r="A592" t="s">
        <v>1651</v>
      </c>
      <c r="B592" t="s">
        <v>1652</v>
      </c>
      <c r="C592">
        <v>0</v>
      </c>
      <c r="D592" t="s">
        <v>1630</v>
      </c>
      <c r="E592" t="str">
        <f>CONCATENATE(J592,". ",N592)</f>
        <v>01. Chain Hoist</v>
      </c>
      <c r="F592">
        <v>75</v>
      </c>
      <c r="G592" t="b">
        <v>0</v>
      </c>
      <c r="H592">
        <v>1057</v>
      </c>
      <c r="J592" s="193" t="s">
        <v>20</v>
      </c>
      <c r="K592" s="188" t="str">
        <f>IFERROR(_xlfn.XLOOKUP(A592,[1]Fleet!A:A,[1]Fleet!E:E,""),"")</f>
        <v/>
      </c>
      <c r="L592" s="188">
        <v>54.300000000000004</v>
      </c>
      <c r="M592" s="188" t="s">
        <v>1653</v>
      </c>
      <c r="N592" s="188" t="s">
        <v>1644</v>
      </c>
      <c r="O592">
        <v>575</v>
      </c>
      <c r="P592">
        <f>_xlfn.XLOOKUP(A592,'[1]Classic Net to delete'!D:D,'[1]Classic Net to delete'!AA:AA,0)</f>
        <v>1057</v>
      </c>
    </row>
    <row r="593" spans="1:16" x14ac:dyDescent="0.25">
      <c r="A593" t="s">
        <v>1793</v>
      </c>
      <c r="B593" t="s">
        <v>1794</v>
      </c>
      <c r="C593">
        <v>29.69</v>
      </c>
      <c r="D593" t="s">
        <v>1630</v>
      </c>
      <c r="E593" t="str">
        <f>CONCATENATE(J593,". ",N593)</f>
        <v>02. Clamps, Shackles, Slings and Pulleys</v>
      </c>
      <c r="F593">
        <v>75</v>
      </c>
      <c r="G593" t="b">
        <v>1</v>
      </c>
      <c r="H593">
        <v>1061</v>
      </c>
      <c r="J593" s="193" t="s">
        <v>189</v>
      </c>
      <c r="K593" s="188">
        <f>IFERROR(_xlfn.XLOOKUP(A593,[1]Fleet!A:A,[1]Fleet!E:E,""),"")</f>
        <v>6</v>
      </c>
      <c r="L593" s="188">
        <v>27.75</v>
      </c>
      <c r="M593" s="188" t="s">
        <v>1795</v>
      </c>
      <c r="N593" s="188" t="s">
        <v>1684</v>
      </c>
      <c r="O593">
        <v>582</v>
      </c>
      <c r="P593">
        <f>_xlfn.XLOOKUP(A593,'[1]Classic Net to delete'!D:D,'[1]Classic Net to delete'!AA:AA,0)</f>
        <v>1061</v>
      </c>
    </row>
    <row r="594" spans="1:16" x14ac:dyDescent="0.25">
      <c r="A594" t="s">
        <v>2834</v>
      </c>
      <c r="B594" t="s">
        <v>2835</v>
      </c>
      <c r="C594">
        <v>7.92</v>
      </c>
      <c r="D594" t="s">
        <v>1630</v>
      </c>
      <c r="E594" t="str">
        <f>CONCATENATE(J594,". ",N594)</f>
        <v>02. Clamps, Shackles, Slings and Pulleys</v>
      </c>
      <c r="F594">
        <v>75</v>
      </c>
      <c r="G594" t="b">
        <v>1</v>
      </c>
      <c r="H594">
        <v>1063</v>
      </c>
      <c r="J594" s="193" t="s">
        <v>189</v>
      </c>
      <c r="K594" s="188" t="str">
        <f>IFERROR(_xlfn.XLOOKUP(A594,[1]Fleet!A:A,[1]Fleet!E:E,""),"")</f>
        <v/>
      </c>
      <c r="L594" s="188">
        <v>7.4</v>
      </c>
      <c r="M594" s="188" t="s">
        <v>2836</v>
      </c>
      <c r="N594" s="188" t="s">
        <v>1684</v>
      </c>
      <c r="O594">
        <v>538</v>
      </c>
      <c r="P594">
        <f>_xlfn.XLOOKUP(A594,'[1]Classic Net to delete'!D:D,'[1]Classic Net to delete'!AA:AA,0)</f>
        <v>1063</v>
      </c>
    </row>
    <row r="595" spans="1:16" x14ac:dyDescent="0.25">
      <c r="A595" t="s">
        <v>2824</v>
      </c>
      <c r="B595" t="s">
        <v>2825</v>
      </c>
      <c r="C595">
        <v>16.16</v>
      </c>
      <c r="D595" t="s">
        <v>1630</v>
      </c>
      <c r="E595" t="str">
        <f>CONCATENATE(J595,". ",N595)</f>
        <v>02. Clamps, Shackles, Slings and Pulleys</v>
      </c>
      <c r="F595">
        <v>75</v>
      </c>
      <c r="G595" t="b">
        <v>1</v>
      </c>
      <c r="H595">
        <v>1064</v>
      </c>
      <c r="J595" s="193" t="s">
        <v>189</v>
      </c>
      <c r="K595" s="188" t="str">
        <f>IFERROR(_xlfn.XLOOKUP(A595,[1]Fleet!A:A,[1]Fleet!E:E,""),"")</f>
        <v/>
      </c>
      <c r="L595" s="188">
        <v>15.100000000000001</v>
      </c>
      <c r="M595" s="188" t="s">
        <v>2826</v>
      </c>
      <c r="N595" s="188" t="s">
        <v>1684</v>
      </c>
      <c r="O595">
        <v>539</v>
      </c>
      <c r="P595">
        <f>_xlfn.XLOOKUP(A595,'[1]Classic Net to delete'!D:D,'[1]Classic Net to delete'!AA:AA,0)</f>
        <v>1064</v>
      </c>
    </row>
    <row r="596" spans="1:16" x14ac:dyDescent="0.25">
      <c r="A596" t="s">
        <v>2818</v>
      </c>
      <c r="B596" t="s">
        <v>2819</v>
      </c>
      <c r="C596">
        <v>17.07</v>
      </c>
      <c r="D596" t="s">
        <v>1630</v>
      </c>
      <c r="E596" t="str">
        <f>CONCATENATE(J596,". ",N596)</f>
        <v>02. Clamps, Shackles, Slings and Pulleys</v>
      </c>
      <c r="F596">
        <v>75</v>
      </c>
      <c r="G596" t="b">
        <v>1</v>
      </c>
      <c r="H596">
        <v>1065</v>
      </c>
      <c r="J596" s="193" t="s">
        <v>189</v>
      </c>
      <c r="K596" s="188" t="str">
        <f>IFERROR(_xlfn.XLOOKUP(A596,[1]Fleet!A:A,[1]Fleet!E:E,""),"")</f>
        <v/>
      </c>
      <c r="L596" s="188">
        <v>15.950000000000001</v>
      </c>
      <c r="M596" s="188" t="s">
        <v>2820</v>
      </c>
      <c r="N596" s="188" t="s">
        <v>1684</v>
      </c>
      <c r="O596">
        <v>541</v>
      </c>
      <c r="P596">
        <f>_xlfn.XLOOKUP(A596,'[1]Classic Net to delete'!D:D,'[1]Classic Net to delete'!AA:AA,0)</f>
        <v>1065</v>
      </c>
    </row>
    <row r="597" spans="1:16" x14ac:dyDescent="0.25">
      <c r="A597" t="s">
        <v>2821</v>
      </c>
      <c r="B597" t="s">
        <v>2822</v>
      </c>
      <c r="C597">
        <v>23.97</v>
      </c>
      <c r="D597" t="s">
        <v>1630</v>
      </c>
      <c r="E597" t="str">
        <f>CONCATENATE(J597,". ",N597)</f>
        <v>02. Clamps, Shackles, Slings and Pulleys</v>
      </c>
      <c r="F597">
        <v>75</v>
      </c>
      <c r="G597" t="b">
        <v>1</v>
      </c>
      <c r="H597">
        <v>1066</v>
      </c>
      <c r="J597" s="193" t="s">
        <v>189</v>
      </c>
      <c r="K597" s="188" t="str">
        <f>IFERROR(_xlfn.XLOOKUP(A597,[1]Fleet!A:A,[1]Fleet!E:E,""),"")</f>
        <v/>
      </c>
      <c r="L597" s="188">
        <v>22.400000000000002</v>
      </c>
      <c r="M597" s="188" t="s">
        <v>2823</v>
      </c>
      <c r="N597" s="188" t="s">
        <v>1684</v>
      </c>
      <c r="O597">
        <v>540</v>
      </c>
      <c r="P597">
        <f>_xlfn.XLOOKUP(A597,'[1]Classic Net to delete'!D:D,'[1]Classic Net to delete'!AA:AA,0)</f>
        <v>1066</v>
      </c>
    </row>
    <row r="598" spans="1:16" x14ac:dyDescent="0.25">
      <c r="A598" t="s">
        <v>1742</v>
      </c>
      <c r="B598" t="s">
        <v>1743</v>
      </c>
      <c r="C598">
        <v>79.180000000000007</v>
      </c>
      <c r="D598" t="s">
        <v>1630</v>
      </c>
      <c r="E598" t="str">
        <f>CONCATENATE(J598,". ",N598)</f>
        <v>02. Clamps, Shackles, Slings and Pulleys</v>
      </c>
      <c r="F598">
        <v>75</v>
      </c>
      <c r="G598" t="b">
        <v>1</v>
      </c>
      <c r="H598">
        <v>1069</v>
      </c>
      <c r="J598" s="193" t="s">
        <v>189</v>
      </c>
      <c r="K598" s="188">
        <f>IFERROR(_xlfn.XLOOKUP(A598,[1]Fleet!A:A,[1]Fleet!E:E,""),"")</f>
        <v>1</v>
      </c>
      <c r="L598" s="188">
        <v>74</v>
      </c>
      <c r="M598" s="188" t="s">
        <v>1743</v>
      </c>
      <c r="N598" s="188" t="s">
        <v>1684</v>
      </c>
      <c r="O598">
        <v>573</v>
      </c>
      <c r="P598">
        <f>_xlfn.XLOOKUP(A598,'[1]Classic Net to delete'!D:D,'[1]Classic Net to delete'!AA:AA,0)</f>
        <v>1069</v>
      </c>
    </row>
    <row r="599" spans="1:16" x14ac:dyDescent="0.25">
      <c r="A599" t="s">
        <v>1682</v>
      </c>
      <c r="B599" t="s">
        <v>1683</v>
      </c>
      <c r="C599">
        <v>30.98</v>
      </c>
      <c r="D599" t="s">
        <v>1630</v>
      </c>
      <c r="E599" t="str">
        <f>CONCATENATE(J599,". ",N599)</f>
        <v>02. Clamps, Shackles, Slings and Pulleys</v>
      </c>
      <c r="F599">
        <v>75</v>
      </c>
      <c r="G599" t="b">
        <v>1</v>
      </c>
      <c r="H599">
        <v>1083</v>
      </c>
      <c r="J599" s="193" t="s">
        <v>189</v>
      </c>
      <c r="K599" s="188">
        <f>IFERROR(_xlfn.XLOOKUP(A599,[1]Fleet!A:A,[1]Fleet!E:E,""),"")</f>
        <v>3</v>
      </c>
      <c r="L599" s="188">
        <v>28.950000000000003</v>
      </c>
      <c r="M599" s="188" t="s">
        <v>1683</v>
      </c>
      <c r="N599" s="188" t="s">
        <v>1684</v>
      </c>
      <c r="O599">
        <v>570</v>
      </c>
      <c r="P599">
        <f>_xlfn.XLOOKUP(A599,'[1]Classic Net to delete'!D:D,'[1]Classic Net to delete'!AA:AA,0)</f>
        <v>1083</v>
      </c>
    </row>
    <row r="600" spans="1:16" x14ac:dyDescent="0.25">
      <c r="A600" t="s">
        <v>2805</v>
      </c>
      <c r="B600" t="s">
        <v>2806</v>
      </c>
      <c r="C600">
        <v>19.309999999999999</v>
      </c>
      <c r="D600" t="s">
        <v>1630</v>
      </c>
      <c r="E600" t="str">
        <f>CONCATENATE(J600,". ",N600)</f>
        <v>02. Clamps, Shackles, Slings and Pulleys</v>
      </c>
      <c r="F600">
        <v>75</v>
      </c>
      <c r="G600" t="b">
        <v>1</v>
      </c>
      <c r="H600">
        <v>1084</v>
      </c>
      <c r="J600" s="193" t="s">
        <v>189</v>
      </c>
      <c r="K600" s="188" t="str">
        <f>IFERROR(_xlfn.XLOOKUP(A600,[1]Fleet!A:A,[1]Fleet!E:E,""),"")</f>
        <v/>
      </c>
      <c r="L600" s="188">
        <v>18.05</v>
      </c>
      <c r="M600" s="188" t="s">
        <v>2807</v>
      </c>
      <c r="N600" s="188" t="s">
        <v>1684</v>
      </c>
      <c r="O600">
        <v>547</v>
      </c>
      <c r="P600">
        <f>_xlfn.XLOOKUP(A600,'[1]Classic Net to delete'!D:D,'[1]Classic Net to delete'!AA:AA,0)</f>
        <v>1084</v>
      </c>
    </row>
    <row r="601" spans="1:16" x14ac:dyDescent="0.25">
      <c r="A601" t="s">
        <v>2808</v>
      </c>
      <c r="B601" t="s">
        <v>2809</v>
      </c>
      <c r="C601">
        <v>8.61</v>
      </c>
      <c r="D601" t="s">
        <v>1630</v>
      </c>
      <c r="E601" t="str">
        <f>CONCATENATE(J601,". ",N601)</f>
        <v>02. Clamps, Shackles, Slings and Pulleys</v>
      </c>
      <c r="F601">
        <v>75</v>
      </c>
      <c r="G601" t="b">
        <v>1</v>
      </c>
      <c r="H601">
        <v>1085</v>
      </c>
      <c r="J601" s="193" t="s">
        <v>189</v>
      </c>
      <c r="K601" s="188" t="str">
        <f>IFERROR(_xlfn.XLOOKUP(A601,[1]Fleet!A:A,[1]Fleet!E:E,""),"")</f>
        <v/>
      </c>
      <c r="L601" s="188">
        <v>8.0500000000000007</v>
      </c>
      <c r="M601" s="188" t="s">
        <v>2810</v>
      </c>
      <c r="N601" s="188" t="s">
        <v>1684</v>
      </c>
      <c r="O601">
        <v>546</v>
      </c>
      <c r="P601">
        <f>_xlfn.XLOOKUP(A601,'[1]Classic Net to delete'!D:D,'[1]Classic Net to delete'!AA:AA,0)</f>
        <v>1085</v>
      </c>
    </row>
    <row r="602" spans="1:16" x14ac:dyDescent="0.25">
      <c r="A602" t="s">
        <v>2811</v>
      </c>
      <c r="B602" t="s">
        <v>2812</v>
      </c>
      <c r="C602">
        <v>23.97</v>
      </c>
      <c r="D602" t="s">
        <v>1630</v>
      </c>
      <c r="E602" t="str">
        <f>CONCATENATE(J602,". ",N602)</f>
        <v>03. Glass Handling</v>
      </c>
      <c r="F602">
        <v>75</v>
      </c>
      <c r="G602" t="b">
        <v>1</v>
      </c>
      <c r="H602">
        <v>1088</v>
      </c>
      <c r="J602" s="193" t="s">
        <v>188</v>
      </c>
      <c r="K602" s="188" t="str">
        <f>IFERROR(_xlfn.XLOOKUP(A602,[1]Fleet!A:A,[1]Fleet!E:E,""),"")</f>
        <v/>
      </c>
      <c r="L602" s="188">
        <v>22.400000000000002</v>
      </c>
      <c r="M602" s="188" t="s">
        <v>2812</v>
      </c>
      <c r="N602" s="188" t="s">
        <v>2813</v>
      </c>
      <c r="O602">
        <v>545</v>
      </c>
      <c r="P602">
        <f>_xlfn.XLOOKUP(A602,'[1]Classic Net to delete'!D:D,'[1]Classic Net to delete'!AA:AA,0)</f>
        <v>1088</v>
      </c>
    </row>
    <row r="603" spans="1:16" x14ac:dyDescent="0.25">
      <c r="A603" t="s">
        <v>2814</v>
      </c>
      <c r="B603" t="s">
        <v>2815</v>
      </c>
      <c r="C603">
        <v>29.05</v>
      </c>
      <c r="D603" t="s">
        <v>1630</v>
      </c>
      <c r="E603" t="str">
        <f>CONCATENATE(J603,". ",N603)</f>
        <v>03. Glass Handling</v>
      </c>
      <c r="F603">
        <v>75</v>
      </c>
      <c r="G603" t="b">
        <v>1</v>
      </c>
      <c r="H603">
        <v>1089</v>
      </c>
      <c r="J603" s="193" t="s">
        <v>188</v>
      </c>
      <c r="K603" s="188" t="str">
        <f>IFERROR(_xlfn.XLOOKUP(A603,[1]Fleet!A:A,[1]Fleet!E:E,""),"")</f>
        <v/>
      </c>
      <c r="L603" s="188">
        <v>27.150000000000002</v>
      </c>
      <c r="M603" s="188" t="s">
        <v>2815</v>
      </c>
      <c r="N603" s="188" t="s">
        <v>2813</v>
      </c>
      <c r="O603">
        <v>544</v>
      </c>
      <c r="P603">
        <f>_xlfn.XLOOKUP(A603,'[1]Classic Net to delete'!D:D,'[1]Classic Net to delete'!AA:AA,0)</f>
        <v>1089</v>
      </c>
    </row>
    <row r="604" spans="1:16" x14ac:dyDescent="0.25">
      <c r="A604" t="s">
        <v>1666</v>
      </c>
      <c r="B604" t="s">
        <v>1667</v>
      </c>
      <c r="C604">
        <v>156.49</v>
      </c>
      <c r="D604" t="s">
        <v>1630</v>
      </c>
      <c r="E604" t="str">
        <f>CONCATENATE(J604,". ",N604)</f>
        <v>04. Material Lifts</v>
      </c>
      <c r="F604">
        <v>75</v>
      </c>
      <c r="G604" t="b">
        <v>1</v>
      </c>
      <c r="H604">
        <v>1072</v>
      </c>
      <c r="J604" s="193" t="s">
        <v>269</v>
      </c>
      <c r="K604" s="188">
        <f>IFERROR(_xlfn.XLOOKUP(A604,[1]Fleet!A:A,[1]Fleet!E:E,""),"")</f>
        <v>34</v>
      </c>
      <c r="L604" s="188">
        <v>146.25</v>
      </c>
      <c r="M604" s="188" t="s">
        <v>1668</v>
      </c>
      <c r="N604" s="188" t="s">
        <v>1669</v>
      </c>
      <c r="O604">
        <v>568</v>
      </c>
      <c r="P604">
        <f>_xlfn.XLOOKUP(A604,'[1]Classic Net to delete'!D:D,'[1]Classic Net to delete'!AA:AA,0)</f>
        <v>1072</v>
      </c>
    </row>
    <row r="605" spans="1:16" x14ac:dyDescent="0.25">
      <c r="A605" t="s">
        <v>1673</v>
      </c>
      <c r="B605" t="s">
        <v>1674</v>
      </c>
      <c r="C605">
        <v>178.16</v>
      </c>
      <c r="D605" t="s">
        <v>1630</v>
      </c>
      <c r="E605" t="str">
        <f>CONCATENATE(J605,". ",N605)</f>
        <v>04. Material Lifts</v>
      </c>
      <c r="F605">
        <v>75</v>
      </c>
      <c r="G605" t="b">
        <v>1</v>
      </c>
      <c r="H605">
        <v>1073</v>
      </c>
      <c r="J605" s="193" t="s">
        <v>269</v>
      </c>
      <c r="K605" s="188">
        <f>IFERROR(_xlfn.XLOOKUP(A605,[1]Fleet!A:A,[1]Fleet!E:E,""),"")</f>
        <v>35</v>
      </c>
      <c r="L605" s="188">
        <v>166.5</v>
      </c>
      <c r="M605" s="188" t="s">
        <v>1675</v>
      </c>
      <c r="N605" s="188" t="s">
        <v>1669</v>
      </c>
      <c r="O605">
        <v>569</v>
      </c>
      <c r="P605">
        <f>_xlfn.XLOOKUP(A605,'[1]Classic Net to delete'!D:D,'[1]Classic Net to delete'!AA:AA,0)</f>
        <v>1073</v>
      </c>
    </row>
    <row r="606" spans="1:16" x14ac:dyDescent="0.25">
      <c r="A606" t="s">
        <v>1676</v>
      </c>
      <c r="B606" t="s">
        <v>1677</v>
      </c>
      <c r="C606">
        <v>192.70000000000002</v>
      </c>
      <c r="D606" t="s">
        <v>1630</v>
      </c>
      <c r="E606" t="str">
        <f>CONCATENATE(J606,". ",N606)</f>
        <v>04. Material Lifts</v>
      </c>
      <c r="F606">
        <v>75</v>
      </c>
      <c r="G606" t="b">
        <v>1</v>
      </c>
      <c r="H606">
        <v>1074</v>
      </c>
      <c r="J606" s="193" t="s">
        <v>269</v>
      </c>
      <c r="K606" s="188">
        <f>IFERROR(_xlfn.XLOOKUP(A606,[1]Fleet!A:A,[1]Fleet!E:E,""),"")</f>
        <v>2</v>
      </c>
      <c r="L606" s="188">
        <v>172.05</v>
      </c>
      <c r="M606" s="188" t="s">
        <v>1678</v>
      </c>
      <c r="N606" s="188" t="s">
        <v>1669</v>
      </c>
      <c r="O606">
        <v>587</v>
      </c>
      <c r="P606">
        <f>_xlfn.XLOOKUP(A606,'[1]Classic Net to delete'!D:D,'[1]Classic Net to delete'!AA:AA,0)</f>
        <v>1074</v>
      </c>
    </row>
    <row r="607" spans="1:16" x14ac:dyDescent="0.25">
      <c r="A607" t="s">
        <v>1679</v>
      </c>
      <c r="B607" t="s">
        <v>1680</v>
      </c>
      <c r="C607">
        <v>198.63</v>
      </c>
      <c r="D607" t="s">
        <v>1630</v>
      </c>
      <c r="E607" t="str">
        <f>CONCATENATE(J607,". ",N607)</f>
        <v>04. Material Lifts</v>
      </c>
      <c r="F607">
        <v>75</v>
      </c>
      <c r="G607" t="b">
        <v>1</v>
      </c>
      <c r="H607">
        <v>1075</v>
      </c>
      <c r="J607" s="193" t="s">
        <v>269</v>
      </c>
      <c r="K607" s="188">
        <f>IFERROR(_xlfn.XLOOKUP(A607,[1]Fleet!A:A,[1]Fleet!E:E,""),"")</f>
        <v>7</v>
      </c>
      <c r="L607" s="188">
        <v>177.35000000000002</v>
      </c>
      <c r="M607" s="188" t="s">
        <v>1681</v>
      </c>
      <c r="N607" s="188" t="s">
        <v>1669</v>
      </c>
      <c r="O607">
        <v>588</v>
      </c>
      <c r="P607">
        <f>_xlfn.XLOOKUP(A607,'[1]Classic Net to delete'!D:D,'[1]Classic Net to delete'!AA:AA,0)</f>
        <v>1075</v>
      </c>
    </row>
    <row r="608" spans="1:16" x14ac:dyDescent="0.25">
      <c r="A608" t="s">
        <v>2827</v>
      </c>
      <c r="B608" t="s">
        <v>2828</v>
      </c>
      <c r="C608">
        <v>25.57</v>
      </c>
      <c r="D608" t="s">
        <v>1630</v>
      </c>
      <c r="E608" t="str">
        <f>CONCATENATE(J608,". ",N608)</f>
        <v>04. Material Lifts</v>
      </c>
      <c r="F608">
        <v>75</v>
      </c>
      <c r="G608" t="b">
        <v>1</v>
      </c>
      <c r="H608">
        <v>1076</v>
      </c>
      <c r="J608" s="193" t="s">
        <v>269</v>
      </c>
      <c r="K608" s="188" t="str">
        <f>IFERROR(_xlfn.XLOOKUP(A608,[1]Fleet!A:A,[1]Fleet!E:E,""),"")</f>
        <v/>
      </c>
      <c r="L608" s="188">
        <v>23.900000000000002</v>
      </c>
      <c r="M608" s="188" t="s">
        <v>2829</v>
      </c>
      <c r="N608" s="188" t="s">
        <v>1669</v>
      </c>
      <c r="O608">
        <v>592</v>
      </c>
      <c r="P608">
        <f>_xlfn.XLOOKUP(A608,'[1]Classic Net to delete'!D:D,'[1]Classic Net to delete'!AA:AA,0)</f>
        <v>1076</v>
      </c>
    </row>
    <row r="609" spans="1:16" x14ac:dyDescent="0.25">
      <c r="A609" t="s">
        <v>1670</v>
      </c>
      <c r="B609" t="s">
        <v>1671</v>
      </c>
      <c r="C609">
        <v>27.12</v>
      </c>
      <c r="D609" t="s">
        <v>1630</v>
      </c>
      <c r="E609" t="str">
        <f>CONCATENATE(J609,". ",N609)</f>
        <v>04. Material Lifts</v>
      </c>
      <c r="F609">
        <v>75</v>
      </c>
      <c r="G609" t="b">
        <v>1</v>
      </c>
      <c r="H609">
        <v>1077</v>
      </c>
      <c r="J609" s="193" t="s">
        <v>269</v>
      </c>
      <c r="K609" s="188">
        <f>IFERROR(_xlfn.XLOOKUP(A609,[1]Fleet!A:A,[1]Fleet!E:E,""),"")</f>
        <v>1</v>
      </c>
      <c r="L609" s="188">
        <v>25.35</v>
      </c>
      <c r="M609" s="188" t="s">
        <v>1672</v>
      </c>
      <c r="N609" s="188" t="s">
        <v>1669</v>
      </c>
      <c r="O609">
        <v>585</v>
      </c>
      <c r="P609">
        <f>_xlfn.XLOOKUP(A609,'[1]Classic Net to delete'!D:D,'[1]Classic Net to delete'!AA:AA,0)</f>
        <v>1077</v>
      </c>
    </row>
    <row r="610" spans="1:16" x14ac:dyDescent="0.25">
      <c r="A610" t="s">
        <v>1763</v>
      </c>
      <c r="B610" t="s">
        <v>1764</v>
      </c>
      <c r="C610">
        <v>113.58</v>
      </c>
      <c r="D610" t="s">
        <v>1630</v>
      </c>
      <c r="E610" t="str">
        <f>CONCATENATE(J610,". ",N610)</f>
        <v>04. Material Lifts</v>
      </c>
      <c r="F610">
        <v>75</v>
      </c>
      <c r="G610" t="b">
        <v>1</v>
      </c>
      <c r="H610">
        <v>1078</v>
      </c>
      <c r="J610" s="193" t="s">
        <v>269</v>
      </c>
      <c r="K610" s="188">
        <f>IFERROR(_xlfn.XLOOKUP(A610,[1]Fleet!A:A,[1]Fleet!E:E,""),"")</f>
        <v>4</v>
      </c>
      <c r="L610" s="188">
        <v>106.15</v>
      </c>
      <c r="M610" s="188" t="s">
        <v>1764</v>
      </c>
      <c r="N610" s="188" t="s">
        <v>1669</v>
      </c>
      <c r="O610">
        <v>583</v>
      </c>
      <c r="P610">
        <f>_xlfn.XLOOKUP(A610,'[1]Classic Net to delete'!D:D,'[1]Classic Net to delete'!AA:AA,0)</f>
        <v>1078</v>
      </c>
    </row>
    <row r="611" spans="1:16" x14ac:dyDescent="0.25">
      <c r="A611" t="s">
        <v>1761</v>
      </c>
      <c r="B611" t="s">
        <v>1762</v>
      </c>
      <c r="C611">
        <v>119.25</v>
      </c>
      <c r="D611" t="s">
        <v>1630</v>
      </c>
      <c r="E611" t="str">
        <f>CONCATENATE(J611,". ",N611)</f>
        <v>04. Material Lifts</v>
      </c>
      <c r="F611">
        <v>75</v>
      </c>
      <c r="G611" t="b">
        <v>1</v>
      </c>
      <c r="H611">
        <v>1079</v>
      </c>
      <c r="J611" s="193" t="s">
        <v>269</v>
      </c>
      <c r="K611" s="188">
        <f>IFERROR(_xlfn.XLOOKUP(A611,[1]Fleet!A:A,[1]Fleet!E:E,""),"")</f>
        <v>5</v>
      </c>
      <c r="L611" s="188">
        <v>111.45</v>
      </c>
      <c r="M611" s="188" t="s">
        <v>1762</v>
      </c>
      <c r="N611" s="188" t="s">
        <v>1669</v>
      </c>
      <c r="O611">
        <v>601</v>
      </c>
      <c r="P611">
        <f>_xlfn.XLOOKUP(A611,'[1]Classic Net to delete'!D:D,'[1]Classic Net to delete'!AA:AA,0)</f>
        <v>1079</v>
      </c>
    </row>
    <row r="612" spans="1:16" x14ac:dyDescent="0.25">
      <c r="A612" t="s">
        <v>1771</v>
      </c>
      <c r="B612" t="s">
        <v>1772</v>
      </c>
      <c r="C612">
        <v>35.04</v>
      </c>
      <c r="D612" t="s">
        <v>1630</v>
      </c>
      <c r="E612" t="str">
        <f>CONCATENATE(J612,". ",N612)</f>
        <v>05. Kerb &amp; Slab Lifting</v>
      </c>
      <c r="F612">
        <v>75</v>
      </c>
      <c r="G612" t="b">
        <v>1</v>
      </c>
      <c r="H612">
        <v>1092</v>
      </c>
      <c r="J612" s="193" t="s">
        <v>263</v>
      </c>
      <c r="K612" s="188">
        <f>IFERROR(_xlfn.XLOOKUP(A612,[1]Fleet!A:A,[1]Fleet!E:E,""),"")</f>
        <v>7</v>
      </c>
      <c r="L612" s="188">
        <v>32.75</v>
      </c>
      <c r="M612" s="188" t="s">
        <v>1773</v>
      </c>
      <c r="N612" s="188" t="s">
        <v>1699</v>
      </c>
      <c r="O612">
        <v>586</v>
      </c>
      <c r="P612">
        <f>_xlfn.XLOOKUP(A612,'[1]Classic Net to delete'!D:D,'[1]Classic Net to delete'!AA:AA,0)</f>
        <v>1092</v>
      </c>
    </row>
    <row r="613" spans="1:16" x14ac:dyDescent="0.25">
      <c r="A613" t="s">
        <v>1696</v>
      </c>
      <c r="B613" t="s">
        <v>1697</v>
      </c>
      <c r="C613">
        <v>144.5</v>
      </c>
      <c r="D613" t="s">
        <v>1630</v>
      </c>
      <c r="E613" t="str">
        <f>CONCATENATE(J613,". ",N613)</f>
        <v>05. Kerb &amp; Slab Lifting</v>
      </c>
      <c r="F613">
        <v>75</v>
      </c>
      <c r="G613" t="b">
        <v>1</v>
      </c>
      <c r="H613">
        <v>1093</v>
      </c>
      <c r="J613" s="193" t="s">
        <v>263</v>
      </c>
      <c r="K613" s="188">
        <f>IFERROR(_xlfn.XLOOKUP(A613,[1]Fleet!A:A,[1]Fleet!E:E,""),"")</f>
        <v>21</v>
      </c>
      <c r="L613" s="188">
        <v>135.05000000000001</v>
      </c>
      <c r="M613" s="188" t="s">
        <v>1698</v>
      </c>
      <c r="N613" s="188" t="s">
        <v>1699</v>
      </c>
      <c r="O613">
        <v>576</v>
      </c>
      <c r="P613">
        <f>_xlfn.XLOOKUP(A613,'[1]Classic Net to delete'!D:D,'[1]Classic Net to delete'!AA:AA,0)</f>
        <v>1093</v>
      </c>
    </row>
    <row r="614" spans="1:16" x14ac:dyDescent="0.25">
      <c r="A614" t="s">
        <v>1744</v>
      </c>
      <c r="B614" t="s">
        <v>1745</v>
      </c>
      <c r="C614">
        <v>73.78</v>
      </c>
      <c r="D614" t="s">
        <v>1630</v>
      </c>
      <c r="E614" t="str">
        <f>CONCATENATE(J614,". ",N614)</f>
        <v>05. Kerb &amp; Slab Lifting</v>
      </c>
      <c r="F614">
        <v>75</v>
      </c>
      <c r="G614" t="b">
        <v>1</v>
      </c>
      <c r="H614">
        <v>1094</v>
      </c>
      <c r="J614" s="193" t="s">
        <v>263</v>
      </c>
      <c r="K614" s="188">
        <f>IFERROR(_xlfn.XLOOKUP(A614,[1]Fleet!A:A,[1]Fleet!E:E,""),"")</f>
        <v>2</v>
      </c>
      <c r="L614" s="188">
        <v>68.95</v>
      </c>
      <c r="M614" s="188" t="s">
        <v>1745</v>
      </c>
      <c r="N614" s="188" t="s">
        <v>1699</v>
      </c>
      <c r="O614">
        <v>664</v>
      </c>
      <c r="P614">
        <f>_xlfn.XLOOKUP(A614,'[1]Classic Net to delete'!D:D,'[1]Classic Net to delete'!AA:AA,0)</f>
        <v>1094</v>
      </c>
    </row>
    <row r="615" spans="1:16" x14ac:dyDescent="0.25">
      <c r="A615" t="s">
        <v>1735</v>
      </c>
      <c r="B615" t="s">
        <v>1736</v>
      </c>
      <c r="C615">
        <v>146.22</v>
      </c>
      <c r="D615" t="s">
        <v>1630</v>
      </c>
      <c r="E615" t="str">
        <f>CONCATENATE(J615,". ",N615)</f>
        <v>06. Hoists</v>
      </c>
      <c r="F615">
        <v>75</v>
      </c>
      <c r="G615" t="b">
        <v>1</v>
      </c>
      <c r="H615">
        <v>1097</v>
      </c>
      <c r="J615" s="193" t="s">
        <v>259</v>
      </c>
      <c r="K615" s="188">
        <f>IFERROR(_xlfn.XLOOKUP(A615,[1]Fleet!A:A,[1]Fleet!E:E,""),"")</f>
        <v>26</v>
      </c>
      <c r="L615" s="188">
        <v>136.65</v>
      </c>
      <c r="M615" s="188" t="s">
        <v>1736</v>
      </c>
      <c r="N615" s="188" t="s">
        <v>1688</v>
      </c>
      <c r="O615">
        <v>572</v>
      </c>
      <c r="P615">
        <f>_xlfn.XLOOKUP(A615,'[1]Classic Net to delete'!D:D,'[1]Classic Net to delete'!AA:AA,0)</f>
        <v>1097</v>
      </c>
    </row>
    <row r="616" spans="1:16" x14ac:dyDescent="0.25">
      <c r="A616" t="s">
        <v>1737</v>
      </c>
      <c r="B616" t="s">
        <v>1738</v>
      </c>
      <c r="C616">
        <v>35.36</v>
      </c>
      <c r="D616" t="s">
        <v>1630</v>
      </c>
      <c r="E616" t="str">
        <f>CONCATENATE(J616,". ",N616)</f>
        <v>06. Hoists</v>
      </c>
      <c r="F616">
        <v>75</v>
      </c>
      <c r="G616" t="b">
        <v>1</v>
      </c>
      <c r="H616">
        <v>1098</v>
      </c>
      <c r="J616" s="193" t="s">
        <v>259</v>
      </c>
      <c r="K616" s="188">
        <f>IFERROR(_xlfn.XLOOKUP(A616,[1]Fleet!A:A,[1]Fleet!E:E,""),"")</f>
        <v>11</v>
      </c>
      <c r="L616" s="188">
        <v>33.050000000000004</v>
      </c>
      <c r="M616" s="188" t="s">
        <v>1739</v>
      </c>
      <c r="N616" s="188" t="s">
        <v>1688</v>
      </c>
      <c r="O616">
        <v>557</v>
      </c>
      <c r="P616">
        <f>_xlfn.XLOOKUP(A616,'[1]Classic Net to delete'!D:D,'[1]Classic Net to delete'!AA:AA,0)</f>
        <v>1098</v>
      </c>
    </row>
    <row r="617" spans="1:16" x14ac:dyDescent="0.25">
      <c r="A617" t="s">
        <v>1802</v>
      </c>
      <c r="B617" t="s">
        <v>1803</v>
      </c>
      <c r="C617">
        <v>188.96</v>
      </c>
      <c r="D617" t="s">
        <v>1630</v>
      </c>
      <c r="E617" t="str">
        <f>CONCATENATE(J617,". ",N617)</f>
        <v>06. Hoists</v>
      </c>
      <c r="F617">
        <v>75</v>
      </c>
      <c r="G617" t="b">
        <v>1</v>
      </c>
      <c r="H617">
        <v>1099</v>
      </c>
      <c r="J617" s="193" t="s">
        <v>259</v>
      </c>
      <c r="K617" s="188">
        <f>IFERROR(_xlfn.XLOOKUP(A617,[1]Fleet!A:A,[1]Fleet!E:E,""),"")</f>
        <v>1</v>
      </c>
      <c r="L617" s="188">
        <v>176.60000000000002</v>
      </c>
      <c r="M617" s="188" t="s">
        <v>1804</v>
      </c>
      <c r="N617" s="188" t="s">
        <v>1688</v>
      </c>
      <c r="O617">
        <v>556</v>
      </c>
      <c r="P617">
        <f>_xlfn.XLOOKUP(A617,'[1]Classic Net to delete'!D:D,'[1]Classic Net to delete'!AA:AA,0)</f>
        <v>1099</v>
      </c>
    </row>
    <row r="618" spans="1:16" x14ac:dyDescent="0.25">
      <c r="A618" t="s">
        <v>1805</v>
      </c>
      <c r="B618" t="s">
        <v>1806</v>
      </c>
      <c r="C618">
        <v>246.03</v>
      </c>
      <c r="D618" t="s">
        <v>1630</v>
      </c>
      <c r="E618" t="str">
        <f>CONCATENATE(J618,". ",N618)</f>
        <v>06. Hoists</v>
      </c>
      <c r="F618">
        <v>75</v>
      </c>
      <c r="G618" t="b">
        <v>1</v>
      </c>
      <c r="H618">
        <v>1100</v>
      </c>
      <c r="J618" s="193" t="s">
        <v>259</v>
      </c>
      <c r="K618" s="188">
        <f>IFERROR(_xlfn.XLOOKUP(A618,[1]Fleet!A:A,[1]Fleet!E:E,""),"")</f>
        <v>10</v>
      </c>
      <c r="L618" s="188">
        <v>189.25</v>
      </c>
      <c r="M618" s="188" t="s">
        <v>1806</v>
      </c>
      <c r="N618" s="188" t="s">
        <v>1688</v>
      </c>
      <c r="O618">
        <v>589</v>
      </c>
      <c r="P618">
        <f>_xlfn.XLOOKUP(A618,'[1]Classic Net to delete'!D:D,'[1]Classic Net to delete'!AA:AA,0)</f>
        <v>1100</v>
      </c>
    </row>
    <row r="619" spans="1:16" x14ac:dyDescent="0.25">
      <c r="A619" t="s">
        <v>1685</v>
      </c>
      <c r="B619" t="s">
        <v>1686</v>
      </c>
      <c r="C619">
        <v>242.3</v>
      </c>
      <c r="D619" t="s">
        <v>1630</v>
      </c>
      <c r="E619" t="str">
        <f>CONCATENATE(J619,". ",N619)</f>
        <v>06. Hoists</v>
      </c>
      <c r="F619">
        <v>75</v>
      </c>
      <c r="G619" t="b">
        <v>1</v>
      </c>
      <c r="H619">
        <v>1101</v>
      </c>
      <c r="J619" s="193" t="s">
        <v>259</v>
      </c>
      <c r="K619" s="188">
        <f>IFERROR(_xlfn.XLOOKUP(A619,[1]Fleet!A:A,[1]Fleet!E:E,""),"")</f>
        <v>4</v>
      </c>
      <c r="L619" s="188">
        <v>226.45000000000002</v>
      </c>
      <c r="M619" s="188" t="s">
        <v>1687</v>
      </c>
      <c r="N619" s="188" t="s">
        <v>1688</v>
      </c>
      <c r="O619">
        <v>571</v>
      </c>
      <c r="P619">
        <f>_xlfn.XLOOKUP(A619,'[1]Classic Net to delete'!D:D,'[1]Classic Net to delete'!AA:AA,0)</f>
        <v>1101</v>
      </c>
    </row>
    <row r="620" spans="1:16" x14ac:dyDescent="0.25">
      <c r="A620" t="s">
        <v>2790</v>
      </c>
      <c r="B620" t="s">
        <v>2791</v>
      </c>
      <c r="C620">
        <v>56.76</v>
      </c>
      <c r="D620" t="s">
        <v>1630</v>
      </c>
      <c r="E620" t="str">
        <f>CONCATENATE(J620,". ",N620)</f>
        <v>06. Hoists</v>
      </c>
      <c r="F620">
        <v>75</v>
      </c>
      <c r="G620" t="b">
        <v>1</v>
      </c>
      <c r="H620">
        <v>1102</v>
      </c>
      <c r="J620" s="193" t="s">
        <v>259</v>
      </c>
      <c r="K620" s="188" t="str">
        <f>IFERROR(_xlfn.XLOOKUP(A620,[1]Fleet!A:A,[1]Fleet!E:E,""),"")</f>
        <v/>
      </c>
      <c r="L620" s="188">
        <v>53.050000000000004</v>
      </c>
      <c r="M620" s="188" t="s">
        <v>2791</v>
      </c>
      <c r="N620" s="188" t="s">
        <v>1688</v>
      </c>
      <c r="O620">
        <v>553</v>
      </c>
      <c r="P620">
        <f>_xlfn.XLOOKUP(A620,'[1]Classic Net to delete'!D:D,'[1]Classic Net to delete'!AA:AA,0)</f>
        <v>1102</v>
      </c>
    </row>
    <row r="621" spans="1:16" x14ac:dyDescent="0.25">
      <c r="A621" t="s">
        <v>2788</v>
      </c>
      <c r="B621" t="s">
        <v>2789</v>
      </c>
      <c r="C621">
        <v>28.36</v>
      </c>
      <c r="D621" t="s">
        <v>1630</v>
      </c>
      <c r="E621" t="str">
        <f>CONCATENATE(J621,". ",N621)</f>
        <v>06. Hoists</v>
      </c>
      <c r="F621">
        <v>75</v>
      </c>
      <c r="G621" t="b">
        <v>1</v>
      </c>
      <c r="H621">
        <v>1103</v>
      </c>
      <c r="J621" s="193" t="s">
        <v>259</v>
      </c>
      <c r="K621" s="188" t="str">
        <f>IFERROR(_xlfn.XLOOKUP(A621,[1]Fleet!A:A,[1]Fleet!E:E,""),"")</f>
        <v/>
      </c>
      <c r="L621" s="188">
        <v>26.5</v>
      </c>
      <c r="M621" s="188" t="s">
        <v>2789</v>
      </c>
      <c r="N621" s="188" t="s">
        <v>1688</v>
      </c>
      <c r="O621">
        <v>554</v>
      </c>
      <c r="P621">
        <f>_xlfn.XLOOKUP(A621,'[1]Classic Net to delete'!D:D,'[1]Classic Net to delete'!AA:AA,0)</f>
        <v>1103</v>
      </c>
    </row>
    <row r="622" spans="1:16" x14ac:dyDescent="0.25">
      <c r="A622" t="s">
        <v>2792</v>
      </c>
      <c r="B622" t="s">
        <v>2793</v>
      </c>
      <c r="C622">
        <v>56.76</v>
      </c>
      <c r="D622" t="s">
        <v>1630</v>
      </c>
      <c r="E622" t="str">
        <f>CONCATENATE(J622,". ",N622)</f>
        <v>06. Hoists</v>
      </c>
      <c r="F622">
        <v>75</v>
      </c>
      <c r="G622" t="b">
        <v>1</v>
      </c>
      <c r="H622">
        <v>1104</v>
      </c>
      <c r="J622" s="193" t="s">
        <v>259</v>
      </c>
      <c r="K622" s="188" t="str">
        <f>IFERROR(_xlfn.XLOOKUP(A622,[1]Fleet!A:A,[1]Fleet!E:E,""),"")</f>
        <v/>
      </c>
      <c r="L622" s="188">
        <v>53.050000000000004</v>
      </c>
      <c r="M622" s="188" t="s">
        <v>2793</v>
      </c>
      <c r="N622" s="188" t="s">
        <v>1688</v>
      </c>
      <c r="O622">
        <v>552</v>
      </c>
      <c r="P622">
        <f>_xlfn.XLOOKUP(A622,'[1]Classic Net to delete'!D:D,'[1]Classic Net to delete'!AA:AA,0)</f>
        <v>1104</v>
      </c>
    </row>
    <row r="623" spans="1:16" x14ac:dyDescent="0.25">
      <c r="A623" t="s">
        <v>2794</v>
      </c>
      <c r="B623" t="s">
        <v>2795</v>
      </c>
      <c r="C623">
        <v>30.98</v>
      </c>
      <c r="D623" t="s">
        <v>1630</v>
      </c>
      <c r="E623" t="str">
        <f>CONCATENATE(J623,". ",N623)</f>
        <v>06. Hoists</v>
      </c>
      <c r="F623">
        <v>75</v>
      </c>
      <c r="G623" t="b">
        <v>1</v>
      </c>
      <c r="H623">
        <v>1105</v>
      </c>
      <c r="J623" s="193" t="s">
        <v>259</v>
      </c>
      <c r="K623" s="188" t="str">
        <f>IFERROR(_xlfn.XLOOKUP(A623,[1]Fleet!A:A,[1]Fleet!E:E,""),"")</f>
        <v/>
      </c>
      <c r="L623" s="188">
        <v>28.950000000000003</v>
      </c>
      <c r="M623" s="188" t="s">
        <v>2795</v>
      </c>
      <c r="N623" s="188" t="s">
        <v>1688</v>
      </c>
      <c r="O623">
        <v>551</v>
      </c>
      <c r="P623">
        <f>_xlfn.XLOOKUP(A623,'[1]Classic Net to delete'!D:D,'[1]Classic Net to delete'!AA:AA,0)</f>
        <v>1105</v>
      </c>
    </row>
    <row r="624" spans="1:16" x14ac:dyDescent="0.25">
      <c r="A624" t="s">
        <v>2796</v>
      </c>
      <c r="B624" t="s">
        <v>2797</v>
      </c>
      <c r="C624">
        <v>30.330000000000002</v>
      </c>
      <c r="D624" t="s">
        <v>1630</v>
      </c>
      <c r="E624" t="str">
        <f>CONCATENATE(J624,". ",N624)</f>
        <v>06. Hoists</v>
      </c>
      <c r="F624">
        <v>75</v>
      </c>
      <c r="G624" t="b">
        <v>1</v>
      </c>
      <c r="H624">
        <v>1106</v>
      </c>
      <c r="J624" s="193" t="s">
        <v>259</v>
      </c>
      <c r="K624" s="188" t="str">
        <f>IFERROR(_xlfn.XLOOKUP(A624,[1]Fleet!A:A,[1]Fleet!E:E,""),"")</f>
        <v/>
      </c>
      <c r="L624" s="188">
        <v>28.35</v>
      </c>
      <c r="M624" s="188" t="s">
        <v>2797</v>
      </c>
      <c r="N624" s="188" t="s">
        <v>1688</v>
      </c>
      <c r="O624">
        <v>550</v>
      </c>
      <c r="P624">
        <f>_xlfn.XLOOKUP(A624,'[1]Classic Net to delete'!D:D,'[1]Classic Net to delete'!AA:AA,0)</f>
        <v>1106</v>
      </c>
    </row>
    <row r="625" spans="1:16" x14ac:dyDescent="0.25">
      <c r="A625" t="s">
        <v>2798</v>
      </c>
      <c r="B625" t="s">
        <v>2799</v>
      </c>
      <c r="C625">
        <v>30.330000000000002</v>
      </c>
      <c r="D625" t="s">
        <v>1630</v>
      </c>
      <c r="E625" t="str">
        <f>CONCATENATE(J625,". ",N625)</f>
        <v>06. Hoists</v>
      </c>
      <c r="F625">
        <v>75</v>
      </c>
      <c r="G625" t="b">
        <v>1</v>
      </c>
      <c r="H625">
        <v>1107</v>
      </c>
      <c r="J625" s="193" t="s">
        <v>259</v>
      </c>
      <c r="K625" s="188" t="str">
        <f>IFERROR(_xlfn.XLOOKUP(A625,[1]Fleet!A:A,[1]Fleet!E:E,""),"")</f>
        <v/>
      </c>
      <c r="L625" s="188">
        <v>28.35</v>
      </c>
      <c r="M625" s="188" t="s">
        <v>2800</v>
      </c>
      <c r="N625" s="188" t="s">
        <v>1688</v>
      </c>
      <c r="O625">
        <v>549</v>
      </c>
      <c r="P625">
        <f>_xlfn.XLOOKUP(A625,'[1]Classic Net to delete'!D:D,'[1]Classic Net to delete'!AA:AA,0)</f>
        <v>1107</v>
      </c>
    </row>
    <row r="626" spans="1:16" x14ac:dyDescent="0.25">
      <c r="A626" t="s">
        <v>2801</v>
      </c>
      <c r="B626" t="s">
        <v>2802</v>
      </c>
      <c r="C626">
        <v>23.97</v>
      </c>
      <c r="D626" t="s">
        <v>1630</v>
      </c>
      <c r="E626" t="str">
        <f>CONCATENATE(J626,". ",N626)</f>
        <v>06. Hoists</v>
      </c>
      <c r="F626">
        <v>75</v>
      </c>
      <c r="G626" t="b">
        <v>1</v>
      </c>
      <c r="H626">
        <v>1108</v>
      </c>
      <c r="J626" s="193" t="s">
        <v>259</v>
      </c>
      <c r="K626" s="188" t="str">
        <f>IFERROR(_xlfn.XLOOKUP(A626,[1]Fleet!A:A,[1]Fleet!E:E,""),"")</f>
        <v/>
      </c>
      <c r="L626" s="188">
        <v>22.400000000000002</v>
      </c>
      <c r="M626" s="188" t="s">
        <v>2802</v>
      </c>
      <c r="N626" s="188" t="s">
        <v>1688</v>
      </c>
      <c r="O626">
        <v>548</v>
      </c>
      <c r="P626">
        <f>_xlfn.XLOOKUP(A626,'[1]Classic Net to delete'!D:D,'[1]Classic Net to delete'!AA:AA,0)</f>
        <v>1108</v>
      </c>
    </row>
    <row r="627" spans="1:16" x14ac:dyDescent="0.25">
      <c r="A627" t="s">
        <v>1774</v>
      </c>
      <c r="B627" t="s">
        <v>1775</v>
      </c>
      <c r="C627">
        <v>87.74</v>
      </c>
      <c r="D627" t="s">
        <v>1630</v>
      </c>
      <c r="E627" t="str">
        <f>CONCATENATE(J627,". ",N627)</f>
        <v>07. Crane Attachments</v>
      </c>
      <c r="F627">
        <v>75</v>
      </c>
      <c r="G627" t="b">
        <v>1</v>
      </c>
      <c r="H627">
        <v>1111</v>
      </c>
      <c r="J627" s="193" t="s">
        <v>194</v>
      </c>
      <c r="K627" s="188">
        <f>IFERROR(_xlfn.XLOOKUP(A627,[1]Fleet!A:A,[1]Fleet!E:E,""),"")</f>
        <v>2</v>
      </c>
      <c r="L627" s="188">
        <v>82</v>
      </c>
      <c r="M627" s="188" t="s">
        <v>1775</v>
      </c>
      <c r="N627" s="188" t="s">
        <v>1776</v>
      </c>
      <c r="O627">
        <v>577</v>
      </c>
      <c r="P627">
        <f>_xlfn.XLOOKUP(A627,'[1]Classic Net to delete'!D:D,'[1]Classic Net to delete'!AA:AA,0)</f>
        <v>1111</v>
      </c>
    </row>
    <row r="628" spans="1:16" x14ac:dyDescent="0.25">
      <c r="A628" t="s">
        <v>1777</v>
      </c>
      <c r="B628" t="s">
        <v>1778</v>
      </c>
      <c r="C628">
        <v>78.86</v>
      </c>
      <c r="D628" t="s">
        <v>1630</v>
      </c>
      <c r="E628" t="str">
        <f>CONCATENATE(J628,". ",N628)</f>
        <v>07. Crane Attachments</v>
      </c>
      <c r="F628">
        <v>75</v>
      </c>
      <c r="G628" t="b">
        <v>1</v>
      </c>
      <c r="H628">
        <v>1112</v>
      </c>
      <c r="J628" s="193" t="s">
        <v>194</v>
      </c>
      <c r="K628" s="188">
        <f>IFERROR(_xlfn.XLOOKUP(A628,[1]Fleet!A:A,[1]Fleet!E:E,""),"")</f>
        <v>4</v>
      </c>
      <c r="L628" s="188">
        <v>73.7</v>
      </c>
      <c r="M628" s="188" t="s">
        <v>1779</v>
      </c>
      <c r="N628" s="188" t="s">
        <v>1776</v>
      </c>
      <c r="O628">
        <v>580</v>
      </c>
      <c r="P628">
        <f>_xlfn.XLOOKUP(A628,'[1]Classic Net to delete'!D:D,'[1]Classic Net to delete'!AA:AA,0)</f>
        <v>1112</v>
      </c>
    </row>
    <row r="629" spans="1:16" x14ac:dyDescent="0.25">
      <c r="A629" t="s">
        <v>1660</v>
      </c>
      <c r="B629" t="s">
        <v>1661</v>
      </c>
      <c r="C629">
        <v>18.62</v>
      </c>
      <c r="D629" t="s">
        <v>1630</v>
      </c>
      <c r="E629" t="str">
        <f>CONCATENATE(J629,". ",N629)</f>
        <v>08. Jacks</v>
      </c>
      <c r="F629">
        <v>75</v>
      </c>
      <c r="G629" t="b">
        <v>1</v>
      </c>
      <c r="H629">
        <v>1115</v>
      </c>
      <c r="J629" s="193" t="s">
        <v>201</v>
      </c>
      <c r="K629" s="188">
        <f>IFERROR(_xlfn.XLOOKUP(A629,[1]Fleet!A:A,[1]Fleet!E:E,""),"")</f>
        <v>2</v>
      </c>
      <c r="L629" s="188">
        <v>17.400000000000002</v>
      </c>
      <c r="M629" s="188" t="s">
        <v>1662</v>
      </c>
      <c r="N629" s="188" t="s">
        <v>1663</v>
      </c>
      <c r="O629">
        <v>567</v>
      </c>
      <c r="P629">
        <f>_xlfn.XLOOKUP(A629,'[1]Classic Net to delete'!D:D,'[1]Classic Net to delete'!AA:AA,0)</f>
        <v>1115</v>
      </c>
    </row>
    <row r="630" spans="1:16" x14ac:dyDescent="0.25">
      <c r="A630" t="s">
        <v>1664</v>
      </c>
      <c r="B630" t="s">
        <v>1665</v>
      </c>
      <c r="C630">
        <v>27.12</v>
      </c>
      <c r="D630" t="s">
        <v>1630</v>
      </c>
      <c r="E630" t="str">
        <f>CONCATENATE(J630,". ",N630)</f>
        <v>08. Jacks</v>
      </c>
      <c r="F630">
        <v>75</v>
      </c>
      <c r="G630" t="b">
        <v>1</v>
      </c>
      <c r="H630">
        <v>1116</v>
      </c>
      <c r="J630" s="193" t="s">
        <v>201</v>
      </c>
      <c r="K630" s="188">
        <f>IFERROR(_xlfn.XLOOKUP(A630,[1]Fleet!A:A,[1]Fleet!E:E,""),"")</f>
        <v>3</v>
      </c>
      <c r="L630" s="188">
        <v>25.35</v>
      </c>
      <c r="M630" s="188" t="s">
        <v>1665</v>
      </c>
      <c r="N630" s="188" t="s">
        <v>1663</v>
      </c>
      <c r="O630">
        <v>581</v>
      </c>
      <c r="P630">
        <f>_xlfn.XLOOKUP(A630,'[1]Classic Net to delete'!D:D,'[1]Classic Net to delete'!AA:AA,0)</f>
        <v>1116</v>
      </c>
    </row>
    <row r="631" spans="1:16" x14ac:dyDescent="0.25">
      <c r="A631" t="s">
        <v>1769</v>
      </c>
      <c r="B631" t="s">
        <v>1770</v>
      </c>
      <c r="C631">
        <v>43.87</v>
      </c>
      <c r="D631" t="s">
        <v>1630</v>
      </c>
      <c r="E631" t="str">
        <f>CONCATENATE(J631,". ",N631)</f>
        <v>08. Jacks</v>
      </c>
      <c r="F631">
        <v>75</v>
      </c>
      <c r="G631" t="b">
        <v>1</v>
      </c>
      <c r="H631">
        <v>1117</v>
      </c>
      <c r="J631" s="193" t="s">
        <v>201</v>
      </c>
      <c r="K631" s="188">
        <f>IFERROR(_xlfn.XLOOKUP(A631,[1]Fleet!A:A,[1]Fleet!E:E,""),"")</f>
        <v>8</v>
      </c>
      <c r="L631" s="188">
        <v>41</v>
      </c>
      <c r="M631" s="188" t="s">
        <v>1770</v>
      </c>
      <c r="N631" s="188" t="s">
        <v>1663</v>
      </c>
      <c r="O631">
        <v>574</v>
      </c>
      <c r="P631">
        <f>_xlfn.XLOOKUP(A631,'[1]Classic Net to delete'!D:D,'[1]Classic Net to delete'!AA:AA,0)</f>
        <v>1117</v>
      </c>
    </row>
    <row r="632" spans="1:16" x14ac:dyDescent="0.25">
      <c r="A632" t="s">
        <v>1809</v>
      </c>
      <c r="B632" t="s">
        <v>1810</v>
      </c>
      <c r="C632">
        <v>121.23</v>
      </c>
      <c r="D632" t="s">
        <v>1630</v>
      </c>
      <c r="E632" t="str">
        <f>CONCATENATE(J632,". ",N632)</f>
        <v>08. Jacks</v>
      </c>
      <c r="F632">
        <v>75</v>
      </c>
      <c r="G632" t="b">
        <v>1</v>
      </c>
      <c r="H632">
        <v>1118</v>
      </c>
      <c r="J632" s="193" t="s">
        <v>201</v>
      </c>
      <c r="K632" s="188">
        <f>IFERROR(_xlfn.XLOOKUP(A632,[1]Fleet!A:A,[1]Fleet!E:E,""),"")</f>
        <v>10</v>
      </c>
      <c r="L632" s="188">
        <v>113.30000000000001</v>
      </c>
      <c r="M632" s="188" t="s">
        <v>1810</v>
      </c>
      <c r="N632" s="188" t="s">
        <v>1663</v>
      </c>
      <c r="O632">
        <v>602</v>
      </c>
      <c r="P632">
        <f>_xlfn.XLOOKUP(A632,'[1]Classic Net to delete'!D:D,'[1]Classic Net to delete'!AA:AA,0)</f>
        <v>1118</v>
      </c>
    </row>
    <row r="633" spans="1:16" x14ac:dyDescent="0.25">
      <c r="A633" t="s">
        <v>1728</v>
      </c>
      <c r="B633" t="s">
        <v>1729</v>
      </c>
      <c r="C633">
        <v>30.98</v>
      </c>
      <c r="D633" t="s">
        <v>1630</v>
      </c>
      <c r="E633" t="str">
        <f>CONCATENATE(J633,". ",N633)</f>
        <v>09. Trucks and Trolleys</v>
      </c>
      <c r="F633">
        <v>75</v>
      </c>
      <c r="G633" t="b">
        <v>1</v>
      </c>
      <c r="H633">
        <v>1062</v>
      </c>
      <c r="J633" s="193" t="s">
        <v>234</v>
      </c>
      <c r="K633" s="188">
        <f>IFERROR(_xlfn.XLOOKUP(A633,[1]Fleet!A:A,[1]Fleet!E:E,""),"")</f>
        <v>4</v>
      </c>
      <c r="L633" s="188">
        <v>28.950000000000003</v>
      </c>
      <c r="M633" s="188" t="s">
        <v>1730</v>
      </c>
      <c r="N633" s="188" t="s">
        <v>1692</v>
      </c>
      <c r="O633">
        <v>647</v>
      </c>
      <c r="P633">
        <f>_xlfn.XLOOKUP(A633,'[1]Classic Net to delete'!D:D,'[1]Classic Net to delete'!AA:AA,0)</f>
        <v>1062</v>
      </c>
    </row>
    <row r="634" spans="1:16" x14ac:dyDescent="0.25">
      <c r="A634" t="s">
        <v>1713</v>
      </c>
      <c r="B634" t="s">
        <v>1714</v>
      </c>
      <c r="C634">
        <v>55.27</v>
      </c>
      <c r="D634" t="s">
        <v>1630</v>
      </c>
      <c r="E634" t="str">
        <f>CONCATENATE(J634,". ",N634)</f>
        <v>09. Trucks and Trolleys</v>
      </c>
      <c r="F634">
        <v>75</v>
      </c>
      <c r="G634" t="b">
        <v>1</v>
      </c>
      <c r="H634">
        <v>1121</v>
      </c>
      <c r="J634" s="193" t="s">
        <v>234</v>
      </c>
      <c r="K634" s="188">
        <f>IFERROR(_xlfn.XLOOKUP(A634,[1]Fleet!A:A,[1]Fleet!E:E,""),"")</f>
        <v>81</v>
      </c>
      <c r="L634" s="188">
        <v>51.650000000000006</v>
      </c>
      <c r="M634" s="188" t="s">
        <v>1715</v>
      </c>
      <c r="N634" s="188" t="s">
        <v>1692</v>
      </c>
      <c r="O634">
        <v>644</v>
      </c>
      <c r="P634">
        <f>_xlfn.XLOOKUP(A634,'[1]Classic Net to delete'!D:D,'[1]Classic Net to delete'!AA:AA,0)</f>
        <v>1121</v>
      </c>
    </row>
    <row r="635" spans="1:16" x14ac:dyDescent="0.25">
      <c r="A635" t="s">
        <v>1765</v>
      </c>
      <c r="B635" t="s">
        <v>1766</v>
      </c>
      <c r="C635">
        <v>78.59</v>
      </c>
      <c r="D635" t="s">
        <v>1630</v>
      </c>
      <c r="E635" t="str">
        <f>CONCATENATE(J635,". ",N635)</f>
        <v>09. Trucks and Trolleys</v>
      </c>
      <c r="F635">
        <v>75</v>
      </c>
      <c r="G635" t="b">
        <v>1</v>
      </c>
      <c r="H635">
        <v>1122</v>
      </c>
      <c r="J635" s="193" t="s">
        <v>234</v>
      </c>
      <c r="K635" s="188">
        <f>IFERROR(_xlfn.XLOOKUP(A635,[1]Fleet!A:A,[1]Fleet!E:E,""),"")</f>
        <v>20</v>
      </c>
      <c r="L635" s="188">
        <v>73.45</v>
      </c>
      <c r="M635" s="188" t="s">
        <v>1766</v>
      </c>
      <c r="N635" s="188" t="s">
        <v>1692</v>
      </c>
      <c r="O635">
        <v>640</v>
      </c>
      <c r="P635">
        <f>_xlfn.XLOOKUP(A635,'[1]Classic Net to delete'!D:D,'[1]Classic Net to delete'!AA:AA,0)</f>
        <v>1122</v>
      </c>
    </row>
    <row r="636" spans="1:16" x14ac:dyDescent="0.25">
      <c r="A636" t="s">
        <v>1718</v>
      </c>
      <c r="B636" t="s">
        <v>1719</v>
      </c>
      <c r="C636">
        <v>69.39</v>
      </c>
      <c r="D636" t="s">
        <v>1630</v>
      </c>
      <c r="E636" t="str">
        <f>CONCATENATE(J636,". ",N636)</f>
        <v>09. Trucks and Trolleys</v>
      </c>
      <c r="F636">
        <v>75</v>
      </c>
      <c r="G636" t="b">
        <v>1</v>
      </c>
      <c r="H636">
        <v>1123</v>
      </c>
      <c r="J636" s="193" t="s">
        <v>234</v>
      </c>
      <c r="K636" s="188">
        <f>IFERROR(_xlfn.XLOOKUP(A636,[1]Fleet!A:A,[1]Fleet!E:E,""),"")</f>
        <v>8</v>
      </c>
      <c r="L636" s="188">
        <v>64.850000000000009</v>
      </c>
      <c r="M636" s="188" t="s">
        <v>1720</v>
      </c>
      <c r="N636" s="188" t="s">
        <v>1692</v>
      </c>
      <c r="O636">
        <v>645</v>
      </c>
      <c r="P636">
        <f>_xlfn.XLOOKUP(A636,'[1]Classic Net to delete'!D:D,'[1]Classic Net to delete'!AA:AA,0)</f>
        <v>1123</v>
      </c>
    </row>
    <row r="637" spans="1:16" x14ac:dyDescent="0.25">
      <c r="A637" t="s">
        <v>1721</v>
      </c>
      <c r="B637" t="s">
        <v>1722</v>
      </c>
      <c r="C637">
        <v>79.88</v>
      </c>
      <c r="D637" t="s">
        <v>1630</v>
      </c>
      <c r="E637" t="str">
        <f>CONCATENATE(J637,". ",N637)</f>
        <v>09. Trucks and Trolleys</v>
      </c>
      <c r="F637">
        <v>75</v>
      </c>
      <c r="G637" t="b">
        <v>1</v>
      </c>
      <c r="H637">
        <v>1124</v>
      </c>
      <c r="J637" s="193" t="s">
        <v>234</v>
      </c>
      <c r="K637" s="188">
        <f>IFERROR(_xlfn.XLOOKUP(A637,[1]Fleet!A:A,[1]Fleet!E:E,""),"")</f>
        <v>7</v>
      </c>
      <c r="L637" s="188">
        <v>74.650000000000006</v>
      </c>
      <c r="M637" s="188" t="s">
        <v>1722</v>
      </c>
      <c r="N637" s="188" t="s">
        <v>1692</v>
      </c>
      <c r="O637">
        <v>651</v>
      </c>
      <c r="P637">
        <f>_xlfn.XLOOKUP(A637,'[1]Classic Net to delete'!D:D,'[1]Classic Net to delete'!AA:AA,0)</f>
        <v>1124</v>
      </c>
    </row>
    <row r="638" spans="1:16" x14ac:dyDescent="0.25">
      <c r="A638" t="s">
        <v>1723</v>
      </c>
      <c r="B638" t="s">
        <v>1724</v>
      </c>
      <c r="C638">
        <v>86.56</v>
      </c>
      <c r="D638" t="s">
        <v>1630</v>
      </c>
      <c r="E638" t="str">
        <f>CONCATENATE(J638,". ",N638)</f>
        <v>09. Trucks and Trolleys</v>
      </c>
      <c r="F638">
        <v>75</v>
      </c>
      <c r="G638" t="b">
        <v>1</v>
      </c>
      <c r="H638">
        <v>1125</v>
      </c>
      <c r="J638" s="193" t="s">
        <v>234</v>
      </c>
      <c r="K638" s="188">
        <f>IFERROR(_xlfn.XLOOKUP(A638,[1]Fleet!A:A,[1]Fleet!E:E,""),"")</f>
        <v>16</v>
      </c>
      <c r="L638" s="188">
        <v>80.900000000000006</v>
      </c>
      <c r="M638" s="188" t="s">
        <v>1724</v>
      </c>
      <c r="N638" s="188" t="s">
        <v>1692</v>
      </c>
      <c r="O638">
        <v>663</v>
      </c>
      <c r="P638">
        <f>_xlfn.XLOOKUP(A638,'[1]Classic Net to delete'!D:D,'[1]Classic Net to delete'!AA:AA,0)</f>
        <v>1125</v>
      </c>
    </row>
    <row r="639" spans="1:16" x14ac:dyDescent="0.25">
      <c r="A639" t="s">
        <v>1725</v>
      </c>
      <c r="B639" t="s">
        <v>1726</v>
      </c>
      <c r="C639">
        <v>134.55000000000001</v>
      </c>
      <c r="D639" t="s">
        <v>1630</v>
      </c>
      <c r="E639" t="str">
        <f>CONCATENATE(J639,". ",N639)</f>
        <v>09. Trucks and Trolleys</v>
      </c>
      <c r="F639">
        <v>75</v>
      </c>
      <c r="G639" t="b">
        <v>1</v>
      </c>
      <c r="H639">
        <v>1126</v>
      </c>
      <c r="J639" s="193" t="s">
        <v>234</v>
      </c>
      <c r="K639" s="188">
        <f>IFERROR(_xlfn.XLOOKUP(A639,[1]Fleet!A:A,[1]Fleet!E:E,""),"")</f>
        <v>5</v>
      </c>
      <c r="L639" s="188">
        <v>125.75</v>
      </c>
      <c r="M639" s="188" t="s">
        <v>1727</v>
      </c>
      <c r="N639" s="188" t="s">
        <v>1692</v>
      </c>
      <c r="O639">
        <v>646</v>
      </c>
      <c r="P639">
        <f>_xlfn.XLOOKUP(A639,'[1]Classic Net to delete'!D:D,'[1]Classic Net to delete'!AA:AA,0)</f>
        <v>1126</v>
      </c>
    </row>
    <row r="640" spans="1:16" x14ac:dyDescent="0.25">
      <c r="A640" t="s">
        <v>1731</v>
      </c>
      <c r="B640" t="s">
        <v>1732</v>
      </c>
      <c r="C640">
        <v>246.05</v>
      </c>
      <c r="D640" t="s">
        <v>1630</v>
      </c>
      <c r="E640" t="str">
        <f>CONCATENATE(J640,". ",N640)</f>
        <v>09. Trucks and Trolleys</v>
      </c>
      <c r="F640">
        <v>75</v>
      </c>
      <c r="G640" t="b">
        <v>1</v>
      </c>
      <c r="H640">
        <v>1127</v>
      </c>
      <c r="J640" s="193" t="s">
        <v>234</v>
      </c>
      <c r="K640" s="188">
        <f>IFERROR(_xlfn.XLOOKUP(A640,[1]Fleet!A:A,[1]Fleet!E:E,""),"")</f>
        <v>32</v>
      </c>
      <c r="L640" s="188">
        <v>229.95000000000002</v>
      </c>
      <c r="M640" s="188" t="s">
        <v>1733</v>
      </c>
      <c r="N640" s="188" t="s">
        <v>1692</v>
      </c>
      <c r="O640">
        <v>665</v>
      </c>
      <c r="P640">
        <f>_xlfn.XLOOKUP(A640,'[1]Classic Net to delete'!D:D,'[1]Classic Net to delete'!AA:AA,0)</f>
        <v>1127</v>
      </c>
    </row>
    <row r="641" spans="1:16" x14ac:dyDescent="0.25">
      <c r="A641" t="s">
        <v>1700</v>
      </c>
      <c r="B641" t="s">
        <v>1701</v>
      </c>
      <c r="C641">
        <v>36.01</v>
      </c>
      <c r="D641" t="s">
        <v>1630</v>
      </c>
      <c r="E641" t="str">
        <f>CONCATENATE(J641,". ",N641)</f>
        <v>09. Trucks and Trolleys</v>
      </c>
      <c r="F641">
        <v>75</v>
      </c>
      <c r="G641" t="b">
        <v>1</v>
      </c>
      <c r="H641">
        <v>1128</v>
      </c>
      <c r="J641" s="193" t="s">
        <v>234</v>
      </c>
      <c r="K641" s="188">
        <f>IFERROR(_xlfn.XLOOKUP(A641,[1]Fleet!A:A,[1]Fleet!E:E,""),"")</f>
        <v>61</v>
      </c>
      <c r="L641" s="188">
        <v>33.65</v>
      </c>
      <c r="M641" s="188" t="s">
        <v>1701</v>
      </c>
      <c r="N641" s="188" t="s">
        <v>1692</v>
      </c>
      <c r="O641">
        <v>643</v>
      </c>
      <c r="P641">
        <f>_xlfn.XLOOKUP(A641,'[1]Classic Net to delete'!D:D,'[1]Classic Net to delete'!AA:AA,0)</f>
        <v>1128</v>
      </c>
    </row>
    <row r="642" spans="1:16" x14ac:dyDescent="0.25">
      <c r="A642" t="s">
        <v>1704</v>
      </c>
      <c r="B642" t="s">
        <v>1705</v>
      </c>
      <c r="C642">
        <v>37.69</v>
      </c>
      <c r="D642" t="s">
        <v>1630</v>
      </c>
      <c r="E642" t="str">
        <f>CONCATENATE(J642,". ",N642)</f>
        <v>09. Trucks and Trolleys</v>
      </c>
      <c r="F642">
        <v>75</v>
      </c>
      <c r="G642" t="b">
        <v>1</v>
      </c>
      <c r="H642">
        <v>1129</v>
      </c>
      <c r="J642" s="193" t="s">
        <v>234</v>
      </c>
      <c r="K642" s="188">
        <f>IFERROR(_xlfn.XLOOKUP(A642,[1]Fleet!A:A,[1]Fleet!E:E,""),"")</f>
        <v>84</v>
      </c>
      <c r="L642" s="188">
        <v>33.65</v>
      </c>
      <c r="M642" s="188" t="s">
        <v>1705</v>
      </c>
      <c r="N642" s="188" t="s">
        <v>1692</v>
      </c>
      <c r="O642">
        <v>660</v>
      </c>
      <c r="P642">
        <f>_xlfn.XLOOKUP(A642,'[1]Classic Net to delete'!D:D,'[1]Classic Net to delete'!AA:AA,0)</f>
        <v>1129</v>
      </c>
    </row>
    <row r="643" spans="1:16" x14ac:dyDescent="0.25">
      <c r="A643" t="s">
        <v>1706</v>
      </c>
      <c r="B643" t="s">
        <v>1707</v>
      </c>
      <c r="C643">
        <v>46.03</v>
      </c>
      <c r="D643" t="s">
        <v>1630</v>
      </c>
      <c r="E643" t="str">
        <f>CONCATENATE(J643,". ",N643)</f>
        <v>09. Trucks and Trolleys</v>
      </c>
      <c r="F643">
        <v>75</v>
      </c>
      <c r="G643" t="b">
        <v>1</v>
      </c>
      <c r="H643">
        <v>1130</v>
      </c>
      <c r="J643" s="193" t="s">
        <v>234</v>
      </c>
      <c r="K643" s="188">
        <f>IFERROR(_xlfn.XLOOKUP(A643,[1]Fleet!A:A,[1]Fleet!E:E,""),"")</f>
        <v>2</v>
      </c>
      <c r="L643" s="188">
        <v>41.1</v>
      </c>
      <c r="M643" s="188" t="s">
        <v>1707</v>
      </c>
      <c r="N643" s="188" t="s">
        <v>1692</v>
      </c>
      <c r="O643">
        <v>662</v>
      </c>
      <c r="P643">
        <f>_xlfn.XLOOKUP(A643,'[1]Classic Net to delete'!D:D,'[1]Classic Net to delete'!AA:AA,0)</f>
        <v>1130</v>
      </c>
    </row>
    <row r="644" spans="1:16" x14ac:dyDescent="0.25">
      <c r="A644" t="s">
        <v>1708</v>
      </c>
      <c r="B644" t="s">
        <v>1709</v>
      </c>
      <c r="C644">
        <v>43.980000000000004</v>
      </c>
      <c r="D644" t="s">
        <v>1630</v>
      </c>
      <c r="E644" t="str">
        <f>CONCATENATE(J644,". ",N644)</f>
        <v>09. Trucks and Trolleys</v>
      </c>
      <c r="F644">
        <v>75</v>
      </c>
      <c r="G644" t="b">
        <v>1</v>
      </c>
      <c r="H644">
        <v>1131</v>
      </c>
      <c r="J644" s="193" t="s">
        <v>234</v>
      </c>
      <c r="K644" s="188">
        <f>IFERROR(_xlfn.XLOOKUP(A644,[1]Fleet!A:A,[1]Fleet!E:E,""),"")</f>
        <v>65</v>
      </c>
      <c r="L644" s="188">
        <v>41.1</v>
      </c>
      <c r="M644" s="188" t="s">
        <v>1709</v>
      </c>
      <c r="N644" s="188" t="s">
        <v>1692</v>
      </c>
      <c r="O644">
        <v>666</v>
      </c>
      <c r="P644">
        <f>_xlfn.XLOOKUP(A644,'[1]Classic Net to delete'!D:D,'[1]Classic Net to delete'!AA:AA,0)</f>
        <v>1131</v>
      </c>
    </row>
    <row r="645" spans="1:16" x14ac:dyDescent="0.25">
      <c r="A645" t="s">
        <v>1748</v>
      </c>
      <c r="B645" t="s">
        <v>1749</v>
      </c>
      <c r="C645">
        <v>23.97</v>
      </c>
      <c r="D645" t="s">
        <v>1630</v>
      </c>
      <c r="E645" t="str">
        <f>CONCATENATE(J645,". ",N645)</f>
        <v>09. Trucks and Trolleys</v>
      </c>
      <c r="F645">
        <v>75</v>
      </c>
      <c r="G645" t="b">
        <v>1</v>
      </c>
      <c r="H645">
        <v>1135</v>
      </c>
      <c r="J645" s="193" t="s">
        <v>234</v>
      </c>
      <c r="K645" s="188">
        <f>IFERROR(_xlfn.XLOOKUP(A645,[1]Fleet!A:A,[1]Fleet!E:E,""),"")</f>
        <v>8</v>
      </c>
      <c r="L645" s="188">
        <v>22.400000000000002</v>
      </c>
      <c r="M645" s="188" t="s">
        <v>1749</v>
      </c>
      <c r="N645" s="188" t="s">
        <v>1692</v>
      </c>
      <c r="O645">
        <v>648</v>
      </c>
      <c r="P645">
        <f>_xlfn.XLOOKUP(A645,'[1]Classic Net to delete'!D:D,'[1]Classic Net to delete'!AA:AA,0)</f>
        <v>1135</v>
      </c>
    </row>
    <row r="646" spans="1:16" x14ac:dyDescent="0.25">
      <c r="A646" t="s">
        <v>1750</v>
      </c>
      <c r="B646" t="s">
        <v>1751</v>
      </c>
      <c r="C646">
        <v>32.85</v>
      </c>
      <c r="D646" t="s">
        <v>1630</v>
      </c>
      <c r="E646" t="str">
        <f>CONCATENATE(J646,". ",N646)</f>
        <v>09. Trucks and Trolleys</v>
      </c>
      <c r="F646">
        <v>75</v>
      </c>
      <c r="G646" t="b">
        <v>1</v>
      </c>
      <c r="H646">
        <v>1136</v>
      </c>
      <c r="J646" s="193" t="s">
        <v>234</v>
      </c>
      <c r="K646" s="188">
        <f>IFERROR(_xlfn.XLOOKUP(A646,[1]Fleet!A:A,[1]Fleet!E:E,""),"")</f>
        <v>4</v>
      </c>
      <c r="L646" s="188">
        <v>30.700000000000003</v>
      </c>
      <c r="M646" s="188" t="s">
        <v>1752</v>
      </c>
      <c r="N646" s="188" t="s">
        <v>1692</v>
      </c>
      <c r="O646">
        <v>654</v>
      </c>
      <c r="P646">
        <f>_xlfn.XLOOKUP(A646,'[1]Classic Net to delete'!D:D,'[1]Classic Net to delete'!AA:AA,0)</f>
        <v>1136</v>
      </c>
    </row>
    <row r="647" spans="1:16" x14ac:dyDescent="0.25">
      <c r="A647" t="s">
        <v>1753</v>
      </c>
      <c r="B647" t="s">
        <v>1754</v>
      </c>
      <c r="C647">
        <v>27.12</v>
      </c>
      <c r="D647" t="s">
        <v>1630</v>
      </c>
      <c r="E647" t="str">
        <f>CONCATENATE(J647,". ",N647)</f>
        <v>09. Trucks and Trolleys</v>
      </c>
      <c r="F647">
        <v>75</v>
      </c>
      <c r="G647" t="b">
        <v>1</v>
      </c>
      <c r="H647">
        <v>1137</v>
      </c>
      <c r="J647" s="193" t="s">
        <v>234</v>
      </c>
      <c r="K647" s="188">
        <f>IFERROR(_xlfn.XLOOKUP(A647,[1]Fleet!A:A,[1]Fleet!E:E,""),"")</f>
        <v>3</v>
      </c>
      <c r="L647" s="188">
        <v>25.35</v>
      </c>
      <c r="M647" s="188" t="s">
        <v>1754</v>
      </c>
      <c r="N647" s="188" t="s">
        <v>1692</v>
      </c>
      <c r="O647">
        <v>635</v>
      </c>
      <c r="P647">
        <f>_xlfn.XLOOKUP(A647,'[1]Classic Net to delete'!D:D,'[1]Classic Net to delete'!AA:AA,0)</f>
        <v>1137</v>
      </c>
    </row>
    <row r="648" spans="1:16" x14ac:dyDescent="0.25">
      <c r="A648" t="s">
        <v>1757</v>
      </c>
      <c r="B648" t="s">
        <v>1758</v>
      </c>
      <c r="C648">
        <v>47.03</v>
      </c>
      <c r="D648" t="s">
        <v>1630</v>
      </c>
      <c r="E648" t="str">
        <f>CONCATENATE(J648,". ",N648)</f>
        <v>09. Trucks and Trolleys</v>
      </c>
      <c r="F648">
        <v>75</v>
      </c>
      <c r="G648" t="b">
        <v>1</v>
      </c>
      <c r="H648">
        <v>1138</v>
      </c>
      <c r="J648" s="193" t="s">
        <v>234</v>
      </c>
      <c r="K648" s="188">
        <f>IFERROR(_xlfn.XLOOKUP(A648,[1]Fleet!A:A,[1]Fleet!E:E,""),"")</f>
        <v>1</v>
      </c>
      <c r="L648" s="188">
        <v>43.95</v>
      </c>
      <c r="M648" s="188" t="s">
        <v>1758</v>
      </c>
      <c r="N648" s="188" t="s">
        <v>1692</v>
      </c>
      <c r="O648">
        <v>649</v>
      </c>
      <c r="P648">
        <f>_xlfn.XLOOKUP(A648,'[1]Classic Net to delete'!D:D,'[1]Classic Net to delete'!AA:AA,0)</f>
        <v>1138</v>
      </c>
    </row>
    <row r="649" spans="1:16" x14ac:dyDescent="0.25">
      <c r="A649" t="s">
        <v>1689</v>
      </c>
      <c r="B649" t="s">
        <v>1690</v>
      </c>
      <c r="C649">
        <v>49.65</v>
      </c>
      <c r="D649" t="s">
        <v>1630</v>
      </c>
      <c r="E649" t="str">
        <f>CONCATENATE(J649,". ",N649)</f>
        <v>09. Trucks and Trolleys</v>
      </c>
      <c r="F649">
        <v>75</v>
      </c>
      <c r="G649" t="b">
        <v>1</v>
      </c>
      <c r="H649">
        <v>1139</v>
      </c>
      <c r="J649" s="193" t="s">
        <v>234</v>
      </c>
      <c r="K649" s="188">
        <f>IFERROR(_xlfn.XLOOKUP(A649,[1]Fleet!A:A,[1]Fleet!E:E,""),"")</f>
        <v>10</v>
      </c>
      <c r="L649" s="188">
        <v>46.400000000000006</v>
      </c>
      <c r="M649" s="188" t="s">
        <v>1691</v>
      </c>
      <c r="N649" s="188" t="s">
        <v>1692</v>
      </c>
      <c r="O649">
        <v>642</v>
      </c>
      <c r="P649">
        <f>_xlfn.XLOOKUP(A649,'[1]Classic Net to delete'!D:D,'[1]Classic Net to delete'!AA:AA,0)</f>
        <v>1139</v>
      </c>
    </row>
    <row r="650" spans="1:16" x14ac:dyDescent="0.25">
      <c r="A650" t="s">
        <v>1693</v>
      </c>
      <c r="B650" t="s">
        <v>1694</v>
      </c>
      <c r="C650">
        <v>49.65</v>
      </c>
      <c r="D650" t="s">
        <v>1630</v>
      </c>
      <c r="E650" t="str">
        <f>CONCATENATE(J650,". ",N650)</f>
        <v>09. Trucks and Trolleys</v>
      </c>
      <c r="F650">
        <v>75</v>
      </c>
      <c r="G650" t="b">
        <v>1</v>
      </c>
      <c r="H650">
        <v>1140</v>
      </c>
      <c r="J650" s="193" t="s">
        <v>234</v>
      </c>
      <c r="K650" s="188">
        <f>IFERROR(_xlfn.XLOOKUP(A650,[1]Fleet!A:A,[1]Fleet!E:E,""),"")</f>
        <v>5</v>
      </c>
      <c r="L650" s="188">
        <v>46.400000000000006</v>
      </c>
      <c r="M650" s="188" t="s">
        <v>1695</v>
      </c>
      <c r="N650" s="188" t="s">
        <v>1692</v>
      </c>
      <c r="O650">
        <v>661</v>
      </c>
      <c r="P650">
        <f>_xlfn.XLOOKUP(A650,'[1]Classic Net to delete'!D:D,'[1]Classic Net to delete'!AA:AA,0)</f>
        <v>1140</v>
      </c>
    </row>
    <row r="651" spans="1:16" x14ac:dyDescent="0.25">
      <c r="A651" t="s">
        <v>1786</v>
      </c>
      <c r="B651" t="s">
        <v>1787</v>
      </c>
      <c r="C651">
        <v>77.95</v>
      </c>
      <c r="D651" t="s">
        <v>1630</v>
      </c>
      <c r="E651" t="str">
        <f>CONCATENATE(J651,". ",N651)</f>
        <v>09. Trucks and Trolleys</v>
      </c>
      <c r="F651">
        <v>75</v>
      </c>
      <c r="G651" t="b">
        <v>1</v>
      </c>
      <c r="H651">
        <v>1141</v>
      </c>
      <c r="J651" s="193" t="s">
        <v>234</v>
      </c>
      <c r="K651" s="188">
        <f>IFERROR(_xlfn.XLOOKUP(A651,[1]Fleet!A:A,[1]Fleet!E:E,""),"")</f>
        <v>29</v>
      </c>
      <c r="L651" s="188">
        <v>72.850000000000009</v>
      </c>
      <c r="M651" s="188" t="s">
        <v>1788</v>
      </c>
      <c r="N651" s="188" t="s">
        <v>1692</v>
      </c>
      <c r="O651">
        <v>641</v>
      </c>
      <c r="P651">
        <f>_xlfn.XLOOKUP(A651,'[1]Classic Net to delete'!D:D,'[1]Classic Net to delete'!AA:AA,0)</f>
        <v>1141</v>
      </c>
    </row>
    <row r="652" spans="1:16" x14ac:dyDescent="0.25">
      <c r="A652" t="s">
        <v>1791</v>
      </c>
      <c r="B652" t="s">
        <v>1792</v>
      </c>
      <c r="C652">
        <v>74.47</v>
      </c>
      <c r="D652" t="s">
        <v>1630</v>
      </c>
      <c r="E652" t="str">
        <f>CONCATENATE(J652,". ",N652)</f>
        <v>09. Trucks and Trolleys</v>
      </c>
      <c r="F652">
        <v>75</v>
      </c>
      <c r="G652" t="b">
        <v>1</v>
      </c>
      <c r="H652">
        <v>1142</v>
      </c>
      <c r="J652" s="193" t="s">
        <v>234</v>
      </c>
      <c r="K652" s="188">
        <f>IFERROR(_xlfn.XLOOKUP(A652,[1]Fleet!A:A,[1]Fleet!E:E,""),"")</f>
        <v>1</v>
      </c>
      <c r="L652" s="188">
        <v>69.600000000000009</v>
      </c>
      <c r="M652" s="188" t="s">
        <v>1792</v>
      </c>
      <c r="N652" s="188" t="s">
        <v>1692</v>
      </c>
      <c r="O652">
        <v>656</v>
      </c>
      <c r="P652">
        <f>_xlfn.XLOOKUP(A652,'[1]Classic Net to delete'!D:D,'[1]Classic Net to delete'!AA:AA,0)</f>
        <v>1142</v>
      </c>
    </row>
    <row r="653" spans="1:16" x14ac:dyDescent="0.25">
      <c r="A653" t="s">
        <v>2816</v>
      </c>
      <c r="B653" t="s">
        <v>2817</v>
      </c>
      <c r="C653">
        <v>18.62</v>
      </c>
      <c r="D653" t="s">
        <v>1630</v>
      </c>
      <c r="E653" t="str">
        <f>CONCATENATE(J653,". ",N653)</f>
        <v>09. Trucks and Trolleys</v>
      </c>
      <c r="F653">
        <v>75</v>
      </c>
      <c r="G653" t="b">
        <v>1</v>
      </c>
      <c r="H653">
        <v>1143</v>
      </c>
      <c r="J653" s="193" t="s">
        <v>234</v>
      </c>
      <c r="K653" s="188" t="str">
        <f>IFERROR(_xlfn.XLOOKUP(A653,[1]Fleet!A:A,[1]Fleet!E:E,""),"")</f>
        <v/>
      </c>
      <c r="L653" s="188">
        <v>17.400000000000002</v>
      </c>
      <c r="M653" s="188" t="s">
        <v>2817</v>
      </c>
      <c r="N653" s="188" t="s">
        <v>1692</v>
      </c>
      <c r="O653">
        <v>542</v>
      </c>
      <c r="P653">
        <f>_xlfn.XLOOKUP(A653,'[1]Classic Net to delete'!D:D,'[1]Classic Net to delete'!AA:AA,0)</f>
        <v>1143</v>
      </c>
    </row>
    <row r="654" spans="1:16" x14ac:dyDescent="0.25">
      <c r="A654" t="s">
        <v>2816</v>
      </c>
      <c r="B654" t="s">
        <v>2817</v>
      </c>
      <c r="C654">
        <v>18.62</v>
      </c>
      <c r="D654" t="s">
        <v>1630</v>
      </c>
      <c r="E654" t="str">
        <f>CONCATENATE(J654,". ",N654)</f>
        <v>09. Trucks and Trolleys</v>
      </c>
      <c r="F654">
        <v>75</v>
      </c>
      <c r="G654" t="b">
        <v>0</v>
      </c>
      <c r="H654">
        <v>1143</v>
      </c>
      <c r="J654" s="193" t="s">
        <v>234</v>
      </c>
      <c r="K654" s="188" t="str">
        <f>IFERROR(_xlfn.XLOOKUP(A654,[1]Fleet!A:A,[1]Fleet!E:E,""),"")</f>
        <v/>
      </c>
      <c r="L654" s="188">
        <v>17.400000000000002</v>
      </c>
      <c r="M654" s="188" t="s">
        <v>2817</v>
      </c>
      <c r="N654" s="188" t="s">
        <v>1692</v>
      </c>
      <c r="O654">
        <v>543</v>
      </c>
      <c r="P654">
        <f>_xlfn.XLOOKUP(A654,'[1]Classic Net to delete'!D:D,'[1]Classic Net to delete'!AA:AA,0)</f>
        <v>1143</v>
      </c>
    </row>
    <row r="655" spans="1:16" x14ac:dyDescent="0.25">
      <c r="A655" t="s">
        <v>1755</v>
      </c>
      <c r="B655" t="s">
        <v>1756</v>
      </c>
      <c r="C655">
        <v>32.85</v>
      </c>
      <c r="D655" t="s">
        <v>1630</v>
      </c>
      <c r="E655" t="str">
        <f>CONCATENATE(J655,". ",N655)</f>
        <v>09. Trucks and Trolleys</v>
      </c>
      <c r="F655">
        <v>75</v>
      </c>
      <c r="G655" t="b">
        <v>1</v>
      </c>
      <c r="H655">
        <v>1145</v>
      </c>
      <c r="J655" s="193" t="s">
        <v>234</v>
      </c>
      <c r="K655" s="188">
        <f>IFERROR(_xlfn.XLOOKUP(A655,[1]Fleet!A:A,[1]Fleet!E:E,""),"")</f>
        <v>5</v>
      </c>
      <c r="L655" s="188">
        <v>30.700000000000003</v>
      </c>
      <c r="M655" s="188" t="s">
        <v>1756</v>
      </c>
      <c r="N655" s="188" t="s">
        <v>1692</v>
      </c>
      <c r="O655">
        <v>603</v>
      </c>
      <c r="P655">
        <f>_xlfn.XLOOKUP(A655,'[1]Classic Net to delete'!D:D,'[1]Classic Net to delete'!AA:AA,0)</f>
        <v>1145</v>
      </c>
    </row>
    <row r="656" spans="1:16" x14ac:dyDescent="0.25">
      <c r="A656" t="s">
        <v>1759</v>
      </c>
      <c r="B656" t="s">
        <v>1760</v>
      </c>
      <c r="C656">
        <v>27.12</v>
      </c>
      <c r="D656" t="s">
        <v>1630</v>
      </c>
      <c r="E656" t="str">
        <f>CONCATENATE(J656,". ",N656)</f>
        <v>09. Trucks and Trolleys</v>
      </c>
      <c r="F656">
        <v>75</v>
      </c>
      <c r="G656" t="b">
        <v>1</v>
      </c>
      <c r="H656">
        <v>1146</v>
      </c>
      <c r="J656" s="193" t="s">
        <v>234</v>
      </c>
      <c r="K656" s="188">
        <f>IFERROR(_xlfn.XLOOKUP(A656,[1]Fleet!A:A,[1]Fleet!E:E,""),"")</f>
        <v>5</v>
      </c>
      <c r="L656" s="188">
        <v>25.35</v>
      </c>
      <c r="M656" s="188" t="s">
        <v>1760</v>
      </c>
      <c r="N656" s="188" t="s">
        <v>1692</v>
      </c>
      <c r="O656">
        <v>658</v>
      </c>
      <c r="P656">
        <f>_xlfn.XLOOKUP(A656,'[1]Classic Net to delete'!D:D,'[1]Classic Net to delete'!AA:AA,0)</f>
        <v>1146</v>
      </c>
    </row>
    <row r="657" spans="1:16" x14ac:dyDescent="0.25">
      <c r="A657" t="s">
        <v>1798</v>
      </c>
      <c r="B657" t="s">
        <v>1799</v>
      </c>
      <c r="C657">
        <v>121.45</v>
      </c>
      <c r="D657" t="s">
        <v>1630</v>
      </c>
      <c r="E657" t="str">
        <f>CONCATENATE(J657,". ",N657)</f>
        <v>09. Trucks and Trolleys</v>
      </c>
      <c r="F657">
        <v>75</v>
      </c>
      <c r="G657" t="b">
        <v>1</v>
      </c>
      <c r="H657">
        <v>1149</v>
      </c>
      <c r="J657" s="193" t="s">
        <v>234</v>
      </c>
      <c r="K657" s="188" t="str">
        <f>IFERROR(_xlfn.XLOOKUP(A657,[1]Fleet!A:A,[1]Fleet!E:E,""),"")</f>
        <v/>
      </c>
      <c r="L657" s="188">
        <v>113.5</v>
      </c>
      <c r="M657" s="188" t="s">
        <v>1799</v>
      </c>
      <c r="N657" s="188" t="s">
        <v>1692</v>
      </c>
      <c r="O657">
        <v>655</v>
      </c>
      <c r="P657">
        <f>_xlfn.XLOOKUP(A657,'[1]Classic Net to delete'!D:D,'[1]Classic Net to delete'!AA:AA,0)</f>
        <v>1149</v>
      </c>
    </row>
    <row r="658" spans="1:16" x14ac:dyDescent="0.25">
      <c r="A658" t="s">
        <v>1800</v>
      </c>
      <c r="B658" t="s">
        <v>1801</v>
      </c>
      <c r="C658">
        <v>162.16</v>
      </c>
      <c r="D658" t="s">
        <v>1630</v>
      </c>
      <c r="E658" t="str">
        <f>CONCATENATE(J658,". ",N658)</f>
        <v>09. Trucks and Trolleys</v>
      </c>
      <c r="F658">
        <v>75</v>
      </c>
      <c r="G658" t="b">
        <v>1</v>
      </c>
      <c r="H658">
        <v>1150</v>
      </c>
      <c r="J658" s="193" t="s">
        <v>234</v>
      </c>
      <c r="K658" s="188" t="str">
        <f>IFERROR(_xlfn.XLOOKUP(A658,[1]Fleet!A:A,[1]Fleet!E:E,""),"")</f>
        <v/>
      </c>
      <c r="L658" s="188">
        <v>151.55000000000001</v>
      </c>
      <c r="M658" s="188" t="s">
        <v>1801</v>
      </c>
      <c r="N658" s="188" t="s">
        <v>1692</v>
      </c>
      <c r="O658">
        <v>633</v>
      </c>
      <c r="P658">
        <f>_xlfn.XLOOKUP(A658,'[1]Classic Net to delete'!D:D,'[1]Classic Net to delete'!AA:AA,0)</f>
        <v>1150</v>
      </c>
    </row>
    <row r="659" spans="1:16" x14ac:dyDescent="0.25">
      <c r="A659" t="s">
        <v>1780</v>
      </c>
      <c r="B659" t="s">
        <v>1781</v>
      </c>
      <c r="C659">
        <v>56.76</v>
      </c>
      <c r="D659" t="s">
        <v>1630</v>
      </c>
      <c r="E659" t="str">
        <f>CONCATENATE(J659,". ",N659)</f>
        <v>09. Trucks and Trolleys</v>
      </c>
      <c r="F659">
        <v>75</v>
      </c>
      <c r="G659" t="b">
        <v>1</v>
      </c>
      <c r="H659">
        <v>1160</v>
      </c>
      <c r="J659" s="193" t="s">
        <v>234</v>
      </c>
      <c r="K659" s="188">
        <f>IFERROR(_xlfn.XLOOKUP(A659,[1]Fleet!A:A,[1]Fleet!E:E,""),"")</f>
        <v>13</v>
      </c>
      <c r="L659" s="188">
        <v>53.050000000000004</v>
      </c>
      <c r="M659" s="188" t="s">
        <v>1781</v>
      </c>
      <c r="N659" s="188" t="s">
        <v>1692</v>
      </c>
      <c r="O659">
        <v>653</v>
      </c>
      <c r="P659">
        <f>_xlfn.XLOOKUP(A659,'[1]Classic Net to delete'!D:D,'[1]Classic Net to delete'!AA:AA,0)</f>
        <v>1160</v>
      </c>
    </row>
    <row r="660" spans="1:16" x14ac:dyDescent="0.25">
      <c r="A660" t="s">
        <v>2865</v>
      </c>
      <c r="B660" t="s">
        <v>2866</v>
      </c>
      <c r="C660">
        <v>14.23</v>
      </c>
      <c r="D660" t="s">
        <v>1630</v>
      </c>
      <c r="E660" t="str">
        <f>CONCATENATE(J660,". ",N660)</f>
        <v>10. Rubbish Disposal</v>
      </c>
      <c r="F660">
        <v>75</v>
      </c>
      <c r="G660" t="b">
        <v>1</v>
      </c>
      <c r="H660">
        <v>1153</v>
      </c>
      <c r="J660" s="193" t="s">
        <v>2861</v>
      </c>
      <c r="K660" s="188" t="str">
        <f>IFERROR(_xlfn.XLOOKUP(A660,[1]Fleet!A:A,[1]Fleet!E:E,""),"")</f>
        <v/>
      </c>
      <c r="L660" s="188">
        <v>13.3</v>
      </c>
      <c r="M660" s="188" t="s">
        <v>2866</v>
      </c>
      <c r="N660" s="188" t="s">
        <v>2862</v>
      </c>
      <c r="O660">
        <v>597</v>
      </c>
      <c r="P660">
        <f>_xlfn.XLOOKUP(A660,'[1]Classic Net to delete'!D:D,'[1]Classic Net to delete'!AA:AA,0)</f>
        <v>1153</v>
      </c>
    </row>
    <row r="661" spans="1:16" x14ac:dyDescent="0.25">
      <c r="A661" t="s">
        <v>2867</v>
      </c>
      <c r="B661" t="s">
        <v>2868</v>
      </c>
      <c r="C661">
        <v>26.16</v>
      </c>
      <c r="D661" t="s">
        <v>1630</v>
      </c>
      <c r="E661" t="str">
        <f>CONCATENATE(J661,". ",N661)</f>
        <v>10. Rubbish Disposal</v>
      </c>
      <c r="F661">
        <v>75</v>
      </c>
      <c r="G661" t="b">
        <v>1</v>
      </c>
      <c r="H661">
        <v>1154</v>
      </c>
      <c r="J661" s="193" t="s">
        <v>2861</v>
      </c>
      <c r="K661" s="188" t="str">
        <f>IFERROR(_xlfn.XLOOKUP(A661,[1]Fleet!A:A,[1]Fleet!E:E,""),"")</f>
        <v/>
      </c>
      <c r="L661" s="188">
        <v>24.450000000000003</v>
      </c>
      <c r="M661" s="188" t="s">
        <v>2868</v>
      </c>
      <c r="N661" s="188" t="s">
        <v>2862</v>
      </c>
      <c r="O661">
        <v>596</v>
      </c>
      <c r="P661">
        <f>_xlfn.XLOOKUP(A661,'[1]Classic Net to delete'!D:D,'[1]Classic Net to delete'!AA:AA,0)</f>
        <v>1154</v>
      </c>
    </row>
    <row r="662" spans="1:16" x14ac:dyDescent="0.25">
      <c r="A662" t="s">
        <v>2869</v>
      </c>
      <c r="B662" t="s">
        <v>2870</v>
      </c>
      <c r="C662">
        <v>25.57</v>
      </c>
      <c r="D662" t="s">
        <v>1630</v>
      </c>
      <c r="E662" t="str">
        <f>CONCATENATE(J662,". ",N662)</f>
        <v>10. Rubbish Disposal</v>
      </c>
      <c r="F662">
        <v>75</v>
      </c>
      <c r="G662" t="b">
        <v>1</v>
      </c>
      <c r="H662">
        <v>1155</v>
      </c>
      <c r="J662" s="193" t="s">
        <v>2861</v>
      </c>
      <c r="K662" s="188" t="str">
        <f>IFERROR(_xlfn.XLOOKUP(A662,[1]Fleet!A:A,[1]Fleet!E:E,""),"")</f>
        <v/>
      </c>
      <c r="L662" s="188">
        <v>23.900000000000002</v>
      </c>
      <c r="M662" s="188" t="s">
        <v>2870</v>
      </c>
      <c r="N662" s="188" t="s">
        <v>2862</v>
      </c>
      <c r="O662">
        <v>595</v>
      </c>
      <c r="P662">
        <f>_xlfn.XLOOKUP(A662,'[1]Classic Net to delete'!D:D,'[1]Classic Net to delete'!AA:AA,0)</f>
        <v>1155</v>
      </c>
    </row>
    <row r="663" spans="1:16" x14ac:dyDescent="0.25">
      <c r="A663" t="s">
        <v>2873</v>
      </c>
      <c r="B663" t="s">
        <v>2874</v>
      </c>
      <c r="C663">
        <v>25.57</v>
      </c>
      <c r="D663" t="s">
        <v>1630</v>
      </c>
      <c r="E663" t="str">
        <f>CONCATENATE(J663,". ",N663)</f>
        <v>10. Rubbish Disposal</v>
      </c>
      <c r="F663">
        <v>75</v>
      </c>
      <c r="G663" t="b">
        <v>1</v>
      </c>
      <c r="H663">
        <v>1156</v>
      </c>
      <c r="J663" s="193" t="s">
        <v>2861</v>
      </c>
      <c r="K663" s="188" t="str">
        <f>IFERROR(_xlfn.XLOOKUP(A663,[1]Fleet!A:A,[1]Fleet!E:E,""),"")</f>
        <v/>
      </c>
      <c r="L663" s="188">
        <v>23.900000000000002</v>
      </c>
      <c r="M663" s="188" t="s">
        <v>2874</v>
      </c>
      <c r="N663" s="188" t="s">
        <v>2862</v>
      </c>
      <c r="O663">
        <v>594</v>
      </c>
      <c r="P663">
        <f>_xlfn.XLOOKUP(A663,'[1]Classic Net to delete'!D:D,'[1]Classic Net to delete'!AA:AA,0)</f>
        <v>1156</v>
      </c>
    </row>
    <row r="664" spans="1:16" x14ac:dyDescent="0.25">
      <c r="A664" t="s">
        <v>2875</v>
      </c>
      <c r="B664" t="s">
        <v>2876</v>
      </c>
      <c r="C664">
        <v>29.69</v>
      </c>
      <c r="D664" t="s">
        <v>1630</v>
      </c>
      <c r="E664" t="str">
        <f>CONCATENATE(J664,". ",N664)</f>
        <v>10. Rubbish Disposal</v>
      </c>
      <c r="F664">
        <v>75</v>
      </c>
      <c r="G664" t="b">
        <v>1</v>
      </c>
      <c r="H664">
        <v>1157</v>
      </c>
      <c r="J664" s="193" t="s">
        <v>2861</v>
      </c>
      <c r="K664" s="188" t="str">
        <f>IFERROR(_xlfn.XLOOKUP(A664,[1]Fleet!A:A,[1]Fleet!E:E,""),"")</f>
        <v/>
      </c>
      <c r="L664" s="188">
        <v>27.75</v>
      </c>
      <c r="M664" s="188" t="s">
        <v>2876</v>
      </c>
      <c r="N664" s="188" t="s">
        <v>2862</v>
      </c>
      <c r="O664">
        <v>593</v>
      </c>
      <c r="P664">
        <f>_xlfn.XLOOKUP(A664,'[1]Classic Net to delete'!D:D,'[1]Classic Net to delete'!AA:AA,0)</f>
        <v>1157</v>
      </c>
    </row>
    <row r="665" spans="1:16" x14ac:dyDescent="0.25">
      <c r="A665" t="s">
        <v>2859</v>
      </c>
      <c r="B665" t="s">
        <v>2860</v>
      </c>
      <c r="C665">
        <v>14.23</v>
      </c>
      <c r="D665" t="s">
        <v>1630</v>
      </c>
      <c r="E665" t="str">
        <f>CONCATENATE(J665,". ",N665)</f>
        <v>10. Rubbish Disposal</v>
      </c>
      <c r="F665">
        <v>75</v>
      </c>
      <c r="G665" t="b">
        <v>1</v>
      </c>
      <c r="H665">
        <v>1158</v>
      </c>
      <c r="J665" s="193" t="s">
        <v>2861</v>
      </c>
      <c r="K665" s="188" t="str">
        <f>IFERROR(_xlfn.XLOOKUP(A665,[1]Fleet!A:A,[1]Fleet!E:E,""),"")</f>
        <v/>
      </c>
      <c r="L665" s="188">
        <v>13.3</v>
      </c>
      <c r="M665" s="188" t="s">
        <v>2860</v>
      </c>
      <c r="N665" s="188" t="s">
        <v>2862</v>
      </c>
      <c r="O665">
        <v>599</v>
      </c>
      <c r="P665">
        <f>_xlfn.XLOOKUP(A665,'[1]Classic Net to delete'!D:D,'[1]Classic Net to delete'!AA:AA,0)</f>
        <v>1158</v>
      </c>
    </row>
    <row r="666" spans="1:16" x14ac:dyDescent="0.25">
      <c r="A666" t="s">
        <v>2863</v>
      </c>
      <c r="B666" t="s">
        <v>2864</v>
      </c>
      <c r="C666">
        <v>17.07</v>
      </c>
      <c r="D666" t="s">
        <v>1630</v>
      </c>
      <c r="E666" t="str">
        <f>CONCATENATE(J666,". ",N666)</f>
        <v>10. Rubbish Disposal</v>
      </c>
      <c r="F666">
        <v>75</v>
      </c>
      <c r="G666" t="b">
        <v>1</v>
      </c>
      <c r="H666">
        <v>1159</v>
      </c>
      <c r="J666" s="193" t="s">
        <v>2861</v>
      </c>
      <c r="K666" s="188" t="str">
        <f>IFERROR(_xlfn.XLOOKUP(A666,[1]Fleet!A:A,[1]Fleet!E:E,""),"")</f>
        <v/>
      </c>
      <c r="L666" s="188">
        <v>15.950000000000001</v>
      </c>
      <c r="M666" s="188" t="s">
        <v>2864</v>
      </c>
      <c r="N666" s="188" t="s">
        <v>2862</v>
      </c>
      <c r="O666">
        <v>598</v>
      </c>
      <c r="P666">
        <f>_xlfn.XLOOKUP(A666,'[1]Classic Net to delete'!D:D,'[1]Classic Net to delete'!AA:AA,0)</f>
        <v>1159</v>
      </c>
    </row>
    <row r="667" spans="1:16" x14ac:dyDescent="0.25">
      <c r="A667" t="s">
        <v>1104</v>
      </c>
      <c r="B667" t="s">
        <v>1105</v>
      </c>
      <c r="C667">
        <v>52.06</v>
      </c>
      <c r="D667" t="s">
        <v>1089</v>
      </c>
      <c r="E667" t="str">
        <f>CONCATENATE(J667,". ",N667)</f>
        <v>. Site Lights</v>
      </c>
      <c r="F667">
        <v>75</v>
      </c>
      <c r="G667" t="b">
        <v>0</v>
      </c>
      <c r="H667">
        <v>0</v>
      </c>
      <c r="K667" s="188">
        <f>IFERROR(_xlfn.XLOOKUP(A667,[1]Fleet!A:A,[1]Fleet!E:E,""),"")</f>
        <v>1</v>
      </c>
      <c r="L667" s="188" t="s">
        <v>76</v>
      </c>
      <c r="M667" s="188" t="s">
        <v>76</v>
      </c>
      <c r="N667" s="188" t="s">
        <v>1106</v>
      </c>
      <c r="O667">
        <v>670</v>
      </c>
      <c r="P667">
        <f>_xlfn.XLOOKUP(A667,'[1]Classic Net to delete'!D:D,'[1]Classic Net to delete'!AA:AA,0)</f>
        <v>0</v>
      </c>
    </row>
    <row r="668" spans="1:16" x14ac:dyDescent="0.25">
      <c r="A668" t="s">
        <v>1109</v>
      </c>
      <c r="B668" t="s">
        <v>1110</v>
      </c>
      <c r="C668">
        <v>66.13</v>
      </c>
      <c r="D668" t="s">
        <v>1089</v>
      </c>
      <c r="E668" t="str">
        <f>CONCATENATE(J668,". ",N668)</f>
        <v>. Site Lights</v>
      </c>
      <c r="F668">
        <v>75</v>
      </c>
      <c r="G668" t="b">
        <v>0</v>
      </c>
      <c r="H668">
        <v>0</v>
      </c>
      <c r="K668" s="188">
        <f>IFERROR(_xlfn.XLOOKUP(A668,[1]Fleet!A:A,[1]Fleet!E:E,""),"")</f>
        <v>5</v>
      </c>
      <c r="L668" s="188" t="s">
        <v>76</v>
      </c>
      <c r="M668" s="188" t="s">
        <v>76</v>
      </c>
      <c r="N668" s="188" t="s">
        <v>1106</v>
      </c>
      <c r="O668">
        <v>690</v>
      </c>
      <c r="P668">
        <f>_xlfn.XLOOKUP(A668,'[1]Classic Net to delete'!D:D,'[1]Classic Net to delete'!AA:AA,0)</f>
        <v>0</v>
      </c>
    </row>
    <row r="669" spans="1:16" x14ac:dyDescent="0.25">
      <c r="A669" t="s">
        <v>1115</v>
      </c>
      <c r="B669" t="s">
        <v>1116</v>
      </c>
      <c r="C669">
        <v>0</v>
      </c>
      <c r="D669" t="s">
        <v>1089</v>
      </c>
      <c r="E669" t="str">
        <f>CONCATENATE(J669,". ",N669)</f>
        <v>. Site Lights</v>
      </c>
      <c r="F669">
        <v>75</v>
      </c>
      <c r="G669" t="b">
        <v>0</v>
      </c>
      <c r="H669">
        <v>0</v>
      </c>
      <c r="K669" s="188">
        <f>IFERROR(_xlfn.XLOOKUP(A669,[1]Fleet!A:A,[1]Fleet!E:E,""),"")</f>
        <v>0</v>
      </c>
      <c r="L669" s="188" t="s">
        <v>76</v>
      </c>
      <c r="M669" s="188" t="s">
        <v>76</v>
      </c>
      <c r="N669" s="188" t="s">
        <v>1106</v>
      </c>
      <c r="O669">
        <v>672</v>
      </c>
      <c r="P669">
        <f>_xlfn.XLOOKUP(A669,'[1]Classic Net to delete'!D:D,'[1]Classic Net to delete'!AA:AA,0)</f>
        <v>0</v>
      </c>
    </row>
    <row r="670" spans="1:16" x14ac:dyDescent="0.25">
      <c r="A670" t="s">
        <v>1119</v>
      </c>
      <c r="B670" t="s">
        <v>1120</v>
      </c>
      <c r="C670">
        <v>66.13</v>
      </c>
      <c r="D670" t="s">
        <v>1089</v>
      </c>
      <c r="E670" t="str">
        <f>CONCATENATE(J670,". ",N670)</f>
        <v>. Site Lights</v>
      </c>
      <c r="F670">
        <v>75</v>
      </c>
      <c r="G670" t="b">
        <v>0</v>
      </c>
      <c r="H670">
        <v>0</v>
      </c>
      <c r="K670" s="188">
        <f>IFERROR(_xlfn.XLOOKUP(A670,[1]Fleet!A:A,[1]Fleet!E:E,""),"")</f>
        <v>2</v>
      </c>
      <c r="L670" s="188" t="s">
        <v>76</v>
      </c>
      <c r="M670" s="188" t="s">
        <v>76</v>
      </c>
      <c r="N670" s="188" t="s">
        <v>1106</v>
      </c>
      <c r="O670">
        <v>688</v>
      </c>
      <c r="P670">
        <f>_xlfn.XLOOKUP(A670,'[1]Classic Net to delete'!D:D,'[1]Classic Net to delete'!AA:AA,0)</f>
        <v>0</v>
      </c>
    </row>
    <row r="671" spans="1:16" x14ac:dyDescent="0.25">
      <c r="A671" t="s">
        <v>1121</v>
      </c>
      <c r="B671" t="s">
        <v>1122</v>
      </c>
      <c r="C671">
        <v>66.13</v>
      </c>
      <c r="D671" t="s">
        <v>1089</v>
      </c>
      <c r="E671" t="str">
        <f>CONCATENATE(J671,". ",N671)</f>
        <v>. Site Lights</v>
      </c>
      <c r="F671">
        <v>75</v>
      </c>
      <c r="G671" t="b">
        <v>0</v>
      </c>
      <c r="H671">
        <v>0</v>
      </c>
      <c r="K671" s="188">
        <f>IFERROR(_xlfn.XLOOKUP(A671,[1]Fleet!A:A,[1]Fleet!E:E,""),"")</f>
        <v>2</v>
      </c>
      <c r="L671" s="188" t="s">
        <v>76</v>
      </c>
      <c r="M671" s="188" t="s">
        <v>76</v>
      </c>
      <c r="N671" s="188" t="s">
        <v>1106</v>
      </c>
      <c r="O671">
        <v>689</v>
      </c>
      <c r="P671">
        <f>_xlfn.XLOOKUP(A671,'[1]Classic Net to delete'!D:D,'[1]Classic Net to delete'!AA:AA,0)</f>
        <v>0</v>
      </c>
    </row>
    <row r="672" spans="1:16" x14ac:dyDescent="0.25">
      <c r="A672" t="s">
        <v>1136</v>
      </c>
      <c r="B672" t="s">
        <v>1137</v>
      </c>
      <c r="C672">
        <v>0</v>
      </c>
      <c r="D672" t="s">
        <v>1089</v>
      </c>
      <c r="E672" t="str">
        <f>CONCATENATE(J672,". ",N672)</f>
        <v>. Site Lights</v>
      </c>
      <c r="F672">
        <v>75</v>
      </c>
      <c r="G672" t="b">
        <v>0</v>
      </c>
      <c r="H672">
        <v>0</v>
      </c>
      <c r="K672" s="188" t="str">
        <f>IFERROR(_xlfn.XLOOKUP(A672,[1]Fleet!A:A,[1]Fleet!E:E,""),"")</f>
        <v/>
      </c>
      <c r="L672" s="188" t="s">
        <v>76</v>
      </c>
      <c r="M672" s="188" t="s">
        <v>76</v>
      </c>
      <c r="N672" s="188" t="s">
        <v>1106</v>
      </c>
      <c r="O672">
        <v>685</v>
      </c>
      <c r="P672">
        <f>_xlfn.XLOOKUP(A672,'[1]Classic Net to delete'!D:D,'[1]Classic Net to delete'!AA:AA,0)</f>
        <v>0</v>
      </c>
    </row>
    <row r="673" spans="1:16" x14ac:dyDescent="0.25">
      <c r="A673" t="s">
        <v>1138</v>
      </c>
      <c r="B673" t="s">
        <v>1139</v>
      </c>
      <c r="C673">
        <v>29.69</v>
      </c>
      <c r="D673" t="s">
        <v>1089</v>
      </c>
      <c r="E673" t="str">
        <f>CONCATENATE(J673,". ",N673)</f>
        <v>. Site Lights</v>
      </c>
      <c r="F673">
        <v>75</v>
      </c>
      <c r="G673" t="b">
        <v>0</v>
      </c>
      <c r="H673">
        <v>0</v>
      </c>
      <c r="K673" s="188">
        <f>IFERROR(_xlfn.XLOOKUP(A673,[1]Fleet!A:A,[1]Fleet!E:E,""),"")</f>
        <v>4</v>
      </c>
      <c r="L673" s="188" t="s">
        <v>76</v>
      </c>
      <c r="M673" s="188" t="s">
        <v>76</v>
      </c>
      <c r="N673" s="188" t="s">
        <v>1106</v>
      </c>
      <c r="O673">
        <v>686</v>
      </c>
      <c r="P673">
        <f>_xlfn.XLOOKUP(A673,'[1]Classic Net to delete'!D:D,'[1]Classic Net to delete'!AA:AA,0)</f>
        <v>0</v>
      </c>
    </row>
    <row r="674" spans="1:16" x14ac:dyDescent="0.25">
      <c r="A674" t="s">
        <v>2991</v>
      </c>
      <c r="B674" t="s">
        <v>2992</v>
      </c>
      <c r="C674">
        <v>0</v>
      </c>
      <c r="D674" t="s">
        <v>1089</v>
      </c>
      <c r="E674" t="str">
        <f>CONCATENATE(J674,". ",N674)</f>
        <v>. Site Lights</v>
      </c>
      <c r="F674">
        <v>75</v>
      </c>
      <c r="G674" t="b">
        <v>0</v>
      </c>
      <c r="H674">
        <v>0</v>
      </c>
      <c r="K674" s="188">
        <f>IFERROR(_xlfn.XLOOKUP(A674,[1]Fleet!A:A,[1]Fleet!E:E,""),"")</f>
        <v>2</v>
      </c>
      <c r="L674" s="188" t="s">
        <v>76</v>
      </c>
      <c r="M674" s="188" t="s">
        <v>76</v>
      </c>
      <c r="N674" s="188" t="s">
        <v>1106</v>
      </c>
      <c r="O674">
        <v>681</v>
      </c>
      <c r="P674">
        <f>_xlfn.XLOOKUP(A674,'[1]Classic Net to delete'!D:D,'[1]Classic Net to delete'!AA:AA,0)</f>
        <v>0</v>
      </c>
    </row>
    <row r="675" spans="1:16" x14ac:dyDescent="0.25">
      <c r="A675" t="s">
        <v>2991</v>
      </c>
      <c r="B675" t="s">
        <v>2993</v>
      </c>
      <c r="C675">
        <v>0</v>
      </c>
      <c r="D675" t="s">
        <v>1089</v>
      </c>
      <c r="E675" t="str">
        <f>CONCATENATE(J675,". ",N675)</f>
        <v>. Site Lights</v>
      </c>
      <c r="F675">
        <v>75</v>
      </c>
      <c r="G675" t="b">
        <v>0</v>
      </c>
      <c r="H675">
        <v>0</v>
      </c>
      <c r="K675" s="188">
        <f>IFERROR(_xlfn.XLOOKUP(A675,[1]Fleet!A:A,[1]Fleet!E:E,""),"")</f>
        <v>2</v>
      </c>
      <c r="L675" s="188" t="s">
        <v>76</v>
      </c>
      <c r="M675" s="188" t="s">
        <v>76</v>
      </c>
      <c r="N675" s="188" t="s">
        <v>1106</v>
      </c>
      <c r="O675">
        <v>682</v>
      </c>
      <c r="P675">
        <f>_xlfn.XLOOKUP(A675,'[1]Classic Net to delete'!D:D,'[1]Classic Net to delete'!AA:AA,0)</f>
        <v>0</v>
      </c>
    </row>
    <row r="676" spans="1:16" x14ac:dyDescent="0.25">
      <c r="A676" t="s">
        <v>1140</v>
      </c>
      <c r="B676" t="s">
        <v>1141</v>
      </c>
      <c r="C676">
        <v>23.97</v>
      </c>
      <c r="D676" t="s">
        <v>1089</v>
      </c>
      <c r="E676" t="str">
        <f>CONCATENATE(J676,". ",N676)</f>
        <v>01. Task Lights</v>
      </c>
      <c r="F676">
        <v>75</v>
      </c>
      <c r="G676" t="b">
        <v>1</v>
      </c>
      <c r="H676">
        <v>624</v>
      </c>
      <c r="J676" s="193" t="s">
        <v>20</v>
      </c>
      <c r="K676" s="188">
        <f>IFERROR(_xlfn.XLOOKUP(A676,[1]Fleet!A:A,[1]Fleet!E:E,""),"")</f>
        <v>5</v>
      </c>
      <c r="L676" s="188">
        <v>22.400000000000002</v>
      </c>
      <c r="M676" s="188" t="s">
        <v>1142</v>
      </c>
      <c r="N676" s="188" t="s">
        <v>1091</v>
      </c>
      <c r="O676">
        <v>687</v>
      </c>
      <c r="P676">
        <f>_xlfn.XLOOKUP(A676,'[1]Classic Net to delete'!D:D,'[1]Classic Net to delete'!AA:AA,0)</f>
        <v>624</v>
      </c>
    </row>
    <row r="677" spans="1:16" x14ac:dyDescent="0.25">
      <c r="A677" t="s">
        <v>1143</v>
      </c>
      <c r="B677" t="s">
        <v>1144</v>
      </c>
      <c r="C677">
        <v>74.150000000000006</v>
      </c>
      <c r="D677" t="s">
        <v>1089</v>
      </c>
      <c r="E677" t="str">
        <f>CONCATENATE(J677,". ",N677)</f>
        <v>01. Task Lights</v>
      </c>
      <c r="F677">
        <v>75</v>
      </c>
      <c r="G677" t="b">
        <v>1</v>
      </c>
      <c r="H677">
        <v>625</v>
      </c>
      <c r="J677" s="193" t="s">
        <v>20</v>
      </c>
      <c r="K677" s="188">
        <f>IFERROR(_xlfn.XLOOKUP(A677,[1]Fleet!A:A,[1]Fleet!E:E,""),"")</f>
        <v>62</v>
      </c>
      <c r="L677" s="188">
        <v>69.3</v>
      </c>
      <c r="M677" s="188" t="s">
        <v>1145</v>
      </c>
      <c r="N677" s="188" t="s">
        <v>1091</v>
      </c>
      <c r="O677">
        <v>675</v>
      </c>
      <c r="P677">
        <f>_xlfn.XLOOKUP(A677,'[1]Classic Net to delete'!D:D,'[1]Classic Net to delete'!AA:AA,0)</f>
        <v>625</v>
      </c>
    </row>
    <row r="678" spans="1:16" x14ac:dyDescent="0.25">
      <c r="A678" t="s">
        <v>1092</v>
      </c>
      <c r="B678" t="s">
        <v>1093</v>
      </c>
      <c r="C678">
        <v>29.69</v>
      </c>
      <c r="D678" t="s">
        <v>1089</v>
      </c>
      <c r="E678" t="str">
        <f>CONCATENATE(J678,". ",N678)</f>
        <v>01. Task Lights</v>
      </c>
      <c r="F678">
        <v>75</v>
      </c>
      <c r="G678" t="b">
        <v>1</v>
      </c>
      <c r="H678">
        <v>626</v>
      </c>
      <c r="J678" s="193" t="s">
        <v>20</v>
      </c>
      <c r="K678" s="188">
        <f>IFERROR(_xlfn.XLOOKUP(A678,[1]Fleet!A:A,[1]Fleet!E:E,""),"")</f>
        <v>46</v>
      </c>
      <c r="L678" s="188">
        <v>27.75</v>
      </c>
      <c r="M678" s="188" t="s">
        <v>1094</v>
      </c>
      <c r="N678" s="188" t="s">
        <v>1091</v>
      </c>
      <c r="O678">
        <v>678</v>
      </c>
      <c r="P678">
        <f>_xlfn.XLOOKUP(A678,'[1]Classic Net to delete'!D:D,'[1]Classic Net to delete'!AA:AA,0)</f>
        <v>626</v>
      </c>
    </row>
    <row r="679" spans="1:16" x14ac:dyDescent="0.25">
      <c r="A679" t="s">
        <v>1087</v>
      </c>
      <c r="B679" t="s">
        <v>1088</v>
      </c>
      <c r="C679">
        <v>24.34</v>
      </c>
      <c r="D679" t="s">
        <v>1089</v>
      </c>
      <c r="E679" t="str">
        <f>CONCATENATE(J679,". ",N679)</f>
        <v>01. Task Lights</v>
      </c>
      <c r="F679">
        <v>75</v>
      </c>
      <c r="G679" t="b">
        <v>1</v>
      </c>
      <c r="H679">
        <v>627</v>
      </c>
      <c r="J679" s="193" t="s">
        <v>20</v>
      </c>
      <c r="K679" s="188">
        <f>IFERROR(_xlfn.XLOOKUP(A679,[1]Fleet!A:A,[1]Fleet!E:E,""),"")</f>
        <v>3</v>
      </c>
      <c r="L679" s="188">
        <v>22.75</v>
      </c>
      <c r="M679" s="188" t="s">
        <v>1090</v>
      </c>
      <c r="N679" s="188" t="s">
        <v>1091</v>
      </c>
      <c r="O679">
        <v>667</v>
      </c>
      <c r="P679">
        <f>_xlfn.XLOOKUP(A679,'[1]Classic Net to delete'!D:D,'[1]Classic Net to delete'!AA:AA,0)</f>
        <v>627</v>
      </c>
    </row>
    <row r="680" spans="1:16" x14ac:dyDescent="0.25">
      <c r="A680" t="s">
        <v>1095</v>
      </c>
      <c r="B680" t="s">
        <v>1096</v>
      </c>
      <c r="C680">
        <v>25.68</v>
      </c>
      <c r="D680" t="s">
        <v>1089</v>
      </c>
      <c r="E680" t="str">
        <f>CONCATENATE(J680,". ",N680)</f>
        <v>01. Task Lights</v>
      </c>
      <c r="F680">
        <v>75</v>
      </c>
      <c r="G680" t="b">
        <v>1</v>
      </c>
      <c r="H680">
        <v>628</v>
      </c>
      <c r="J680" s="193" t="s">
        <v>20</v>
      </c>
      <c r="K680" s="188">
        <f>IFERROR(_xlfn.XLOOKUP(A680,[1]Fleet!A:A,[1]Fleet!E:E,""),"")</f>
        <v>235</v>
      </c>
      <c r="L680" s="188">
        <v>24</v>
      </c>
      <c r="M680" s="188" t="s">
        <v>1097</v>
      </c>
      <c r="N680" s="188" t="s">
        <v>1091</v>
      </c>
      <c r="O680">
        <v>679</v>
      </c>
      <c r="P680">
        <f>_xlfn.XLOOKUP(A680,'[1]Classic Net to delete'!D:D,'[1]Classic Net to delete'!AA:AA,0)</f>
        <v>628</v>
      </c>
    </row>
    <row r="681" spans="1:16" x14ac:dyDescent="0.25">
      <c r="A681" t="s">
        <v>1098</v>
      </c>
      <c r="B681" t="s">
        <v>1099</v>
      </c>
      <c r="C681">
        <v>47.03</v>
      </c>
      <c r="D681" t="s">
        <v>1089</v>
      </c>
      <c r="E681" t="str">
        <f>CONCATENATE(J681,". ",N681)</f>
        <v>01. Task Lights</v>
      </c>
      <c r="F681">
        <v>75</v>
      </c>
      <c r="G681" t="b">
        <v>1</v>
      </c>
      <c r="H681">
        <v>629</v>
      </c>
      <c r="J681" s="193" t="s">
        <v>20</v>
      </c>
      <c r="K681" s="188">
        <f>IFERROR(_xlfn.XLOOKUP(A681,[1]Fleet!A:A,[1]Fleet!E:E,""),"")</f>
        <v>16</v>
      </c>
      <c r="L681" s="188">
        <v>43.95</v>
      </c>
      <c r="M681" s="188" t="s">
        <v>1100</v>
      </c>
      <c r="N681" s="188" t="s">
        <v>1091</v>
      </c>
      <c r="O681">
        <v>680</v>
      </c>
      <c r="P681">
        <f>_xlfn.XLOOKUP(A681,'[1]Classic Net to delete'!D:D,'[1]Classic Net to delete'!AA:AA,0)</f>
        <v>629</v>
      </c>
    </row>
    <row r="682" spans="1:16" x14ac:dyDescent="0.25">
      <c r="A682" t="s">
        <v>1101</v>
      </c>
      <c r="B682" t="s">
        <v>1102</v>
      </c>
      <c r="C682">
        <v>38.200000000000003</v>
      </c>
      <c r="D682" t="s">
        <v>1089</v>
      </c>
      <c r="E682" t="str">
        <f>CONCATENATE(J682,". ",N682)</f>
        <v>01. Task Lights</v>
      </c>
      <c r="F682">
        <v>75</v>
      </c>
      <c r="G682" t="b">
        <v>1</v>
      </c>
      <c r="H682">
        <v>630</v>
      </c>
      <c r="J682" s="193" t="s">
        <v>20</v>
      </c>
      <c r="K682" s="188">
        <f>IFERROR(_xlfn.XLOOKUP(A682,[1]Fleet!A:A,[1]Fleet!E:E,""),"")</f>
        <v>1</v>
      </c>
      <c r="L682" s="188">
        <v>35.700000000000003</v>
      </c>
      <c r="M682" s="188" t="s">
        <v>1103</v>
      </c>
      <c r="N682" s="188" t="s">
        <v>1091</v>
      </c>
      <c r="O682">
        <v>668</v>
      </c>
      <c r="P682">
        <f>_xlfn.XLOOKUP(A682,'[1]Classic Net to delete'!D:D,'[1]Classic Net to delete'!AA:AA,0)</f>
        <v>630</v>
      </c>
    </row>
    <row r="683" spans="1:16" x14ac:dyDescent="0.25">
      <c r="A683" t="s">
        <v>1107</v>
      </c>
      <c r="B683" t="s">
        <v>1108</v>
      </c>
      <c r="C683">
        <v>48.2</v>
      </c>
      <c r="D683" t="s">
        <v>1089</v>
      </c>
      <c r="E683" t="str">
        <f>CONCATENATE(J683,". ",N683)</f>
        <v>01. Task Lights</v>
      </c>
      <c r="F683">
        <v>75</v>
      </c>
      <c r="G683" t="b">
        <v>1</v>
      </c>
      <c r="H683">
        <v>631</v>
      </c>
      <c r="J683" s="193" t="s">
        <v>20</v>
      </c>
      <c r="K683" s="188">
        <f>IFERROR(_xlfn.XLOOKUP(A683,[1]Fleet!A:A,[1]Fleet!E:E,""),"")</f>
        <v>80</v>
      </c>
      <c r="L683" s="188">
        <v>45.050000000000004</v>
      </c>
      <c r="M683" s="188" t="s">
        <v>1108</v>
      </c>
      <c r="N683" s="188" t="s">
        <v>1091</v>
      </c>
      <c r="O683">
        <v>676</v>
      </c>
      <c r="P683">
        <f>_xlfn.XLOOKUP(A683,'[1]Classic Net to delete'!D:D,'[1]Classic Net to delete'!AA:AA,0)</f>
        <v>631</v>
      </c>
    </row>
    <row r="684" spans="1:16" x14ac:dyDescent="0.25">
      <c r="A684" t="s">
        <v>1123</v>
      </c>
      <c r="B684" t="s">
        <v>1124</v>
      </c>
      <c r="C684">
        <v>15.46</v>
      </c>
      <c r="D684" t="s">
        <v>1089</v>
      </c>
      <c r="E684" t="str">
        <f>CONCATENATE(J684,". ",N684)</f>
        <v>02. Floodlights</v>
      </c>
      <c r="F684">
        <v>75</v>
      </c>
      <c r="G684" t="b">
        <v>1</v>
      </c>
      <c r="H684">
        <v>634</v>
      </c>
      <c r="J684" s="193" t="s">
        <v>189</v>
      </c>
      <c r="K684" s="188">
        <f>IFERROR(_xlfn.XLOOKUP(A684,[1]Fleet!A:A,[1]Fleet!E:E,""),"")</f>
        <v>61</v>
      </c>
      <c r="L684" s="188">
        <v>14.450000000000001</v>
      </c>
      <c r="M684" s="188" t="s">
        <v>1125</v>
      </c>
      <c r="N684" s="188" t="s">
        <v>1126</v>
      </c>
      <c r="O684">
        <v>683</v>
      </c>
      <c r="P684">
        <f>_xlfn.XLOOKUP(A684,'[1]Classic Net to delete'!D:D,'[1]Classic Net to delete'!AA:AA,0)</f>
        <v>634</v>
      </c>
    </row>
    <row r="685" spans="1:16" x14ac:dyDescent="0.25">
      <c r="A685" t="s">
        <v>1127</v>
      </c>
      <c r="B685" t="s">
        <v>1128</v>
      </c>
      <c r="C685">
        <v>25.57</v>
      </c>
      <c r="D685" t="s">
        <v>1089</v>
      </c>
      <c r="E685" t="str">
        <f>CONCATENATE(J685,". ",N685)</f>
        <v>02. Floodlights</v>
      </c>
      <c r="F685">
        <v>75</v>
      </c>
      <c r="G685" t="b">
        <v>1</v>
      </c>
      <c r="H685">
        <v>635</v>
      </c>
      <c r="J685" s="193" t="s">
        <v>189</v>
      </c>
      <c r="K685" s="188">
        <f>IFERROR(_xlfn.XLOOKUP(A685,[1]Fleet!A:A,[1]Fleet!E:E,""),"")</f>
        <v>28</v>
      </c>
      <c r="L685" s="188">
        <v>23.900000000000002</v>
      </c>
      <c r="M685" s="188" t="s">
        <v>1129</v>
      </c>
      <c r="N685" s="188" t="s">
        <v>1126</v>
      </c>
      <c r="O685">
        <v>684</v>
      </c>
      <c r="P685">
        <f>_xlfn.XLOOKUP(A685,'[1]Classic Net to delete'!D:D,'[1]Classic Net to delete'!AA:AA,0)</f>
        <v>635</v>
      </c>
    </row>
    <row r="686" spans="1:16" x14ac:dyDescent="0.25">
      <c r="A686" t="s">
        <v>1146</v>
      </c>
      <c r="B686" t="s">
        <v>1147</v>
      </c>
      <c r="C686">
        <v>20.22</v>
      </c>
      <c r="D686" t="s">
        <v>1089</v>
      </c>
      <c r="E686" t="str">
        <f>CONCATENATE(J686,". ",N686)</f>
        <v>02. Floodlights</v>
      </c>
      <c r="F686">
        <v>75</v>
      </c>
      <c r="G686" t="b">
        <v>1</v>
      </c>
      <c r="H686">
        <v>636</v>
      </c>
      <c r="J686" s="193" t="s">
        <v>189</v>
      </c>
      <c r="K686" s="188">
        <f>IFERROR(_xlfn.XLOOKUP(A686,[1]Fleet!A:A,[1]Fleet!E:E,""),"")</f>
        <v>15</v>
      </c>
      <c r="L686" s="188">
        <v>18.900000000000002</v>
      </c>
      <c r="M686" s="188" t="s">
        <v>1147</v>
      </c>
      <c r="N686" s="188" t="s">
        <v>1126</v>
      </c>
      <c r="O686">
        <v>669</v>
      </c>
      <c r="P686">
        <f>_xlfn.XLOOKUP(A686,'[1]Classic Net to delete'!D:D,'[1]Classic Net to delete'!AA:AA,0)</f>
        <v>636</v>
      </c>
    </row>
    <row r="687" spans="1:16" x14ac:dyDescent="0.25">
      <c r="A687" t="s">
        <v>1130</v>
      </c>
      <c r="B687" t="s">
        <v>1131</v>
      </c>
      <c r="C687">
        <v>61.2</v>
      </c>
      <c r="D687" t="s">
        <v>1089</v>
      </c>
      <c r="E687" t="str">
        <f>CONCATENATE(J687,". ",N687)</f>
        <v>02. Floodlights</v>
      </c>
      <c r="F687">
        <v>75</v>
      </c>
      <c r="G687" t="b">
        <v>1</v>
      </c>
      <c r="H687">
        <v>637</v>
      </c>
      <c r="J687" s="193" t="s">
        <v>189</v>
      </c>
      <c r="K687" s="188">
        <f>IFERROR(_xlfn.XLOOKUP(A687,[1]Fleet!A:A,[1]Fleet!E:E,""),"")</f>
        <v>6</v>
      </c>
      <c r="L687" s="188">
        <v>57.2</v>
      </c>
      <c r="M687" s="188" t="s">
        <v>1132</v>
      </c>
      <c r="N687" s="188" t="s">
        <v>1126</v>
      </c>
      <c r="O687">
        <v>673</v>
      </c>
      <c r="P687">
        <f>_xlfn.XLOOKUP(A687,'[1]Classic Net to delete'!D:D,'[1]Classic Net to delete'!AA:AA,0)</f>
        <v>637</v>
      </c>
    </row>
    <row r="688" spans="1:16" x14ac:dyDescent="0.25">
      <c r="A688" t="s">
        <v>1117</v>
      </c>
      <c r="B688" t="s">
        <v>1118</v>
      </c>
      <c r="C688">
        <v>30.39</v>
      </c>
      <c r="D688" t="s">
        <v>1089</v>
      </c>
      <c r="E688" t="str">
        <f>CONCATENATE(J688,". ",N688)</f>
        <v>03. Site Lighting</v>
      </c>
      <c r="F688">
        <v>75</v>
      </c>
      <c r="G688" t="b">
        <v>1</v>
      </c>
      <c r="H688">
        <v>640</v>
      </c>
      <c r="J688" s="193" t="s">
        <v>188</v>
      </c>
      <c r="K688" s="188">
        <f>IFERROR(_xlfn.XLOOKUP(A688,[1]Fleet!A:A,[1]Fleet!E:E,""),"")</f>
        <v>22</v>
      </c>
      <c r="L688" s="188">
        <v>28.400000000000002</v>
      </c>
      <c r="M688" s="188" t="s">
        <v>1118</v>
      </c>
      <c r="N688" s="188" t="s">
        <v>1114</v>
      </c>
      <c r="O688">
        <v>674</v>
      </c>
      <c r="P688">
        <f>_xlfn.XLOOKUP(A688,'[1]Classic Net to delete'!D:D,'[1]Classic Net to delete'!AA:AA,0)</f>
        <v>640</v>
      </c>
    </row>
    <row r="689" spans="1:16" x14ac:dyDescent="0.25">
      <c r="A689" t="s">
        <v>1111</v>
      </c>
      <c r="B689" t="s">
        <v>1112</v>
      </c>
      <c r="C689">
        <v>0</v>
      </c>
      <c r="D689" t="s">
        <v>1089</v>
      </c>
      <c r="E689" t="str">
        <f>CONCATENATE(J689,". ",N689)</f>
        <v>03. Site Lighting</v>
      </c>
      <c r="F689">
        <v>75</v>
      </c>
      <c r="G689" t="b">
        <v>0</v>
      </c>
      <c r="H689">
        <v>641</v>
      </c>
      <c r="J689" s="193" t="s">
        <v>188</v>
      </c>
      <c r="K689" s="188">
        <f>IFERROR(_xlfn.XLOOKUP(A689,[1]Fleet!A:A,[1]Fleet!E:E,""),"")</f>
        <v>0</v>
      </c>
      <c r="L689" s="188">
        <v>23.900000000000002</v>
      </c>
      <c r="M689" s="188" t="s">
        <v>1113</v>
      </c>
      <c r="N689" s="188" t="s">
        <v>1114</v>
      </c>
      <c r="O689">
        <v>677</v>
      </c>
      <c r="P689">
        <f>_xlfn.XLOOKUP(A689,'[1]Classic Net to delete'!D:D,'[1]Classic Net to delete'!AA:AA,0)</f>
        <v>641</v>
      </c>
    </row>
    <row r="690" spans="1:16" x14ac:dyDescent="0.25">
      <c r="A690" t="s">
        <v>1133</v>
      </c>
      <c r="B690" t="s">
        <v>1134</v>
      </c>
      <c r="C690">
        <v>7.92</v>
      </c>
      <c r="D690" t="s">
        <v>1089</v>
      </c>
      <c r="E690" t="str">
        <f>CONCATENATE(J690,". ",N690)</f>
        <v>03. Site Lighting</v>
      </c>
      <c r="F690">
        <v>75</v>
      </c>
      <c r="G690" t="b">
        <v>1</v>
      </c>
      <c r="H690">
        <v>643</v>
      </c>
      <c r="J690" s="193" t="s">
        <v>188</v>
      </c>
      <c r="K690" s="188">
        <f>IFERROR(_xlfn.XLOOKUP(A690,[1]Fleet!A:A,[1]Fleet!E:E,""),"")</f>
        <v>12</v>
      </c>
      <c r="L690" s="188">
        <v>7.4</v>
      </c>
      <c r="M690" s="188" t="s">
        <v>1135</v>
      </c>
      <c r="N690" s="188" t="s">
        <v>1114</v>
      </c>
      <c r="O690">
        <v>671</v>
      </c>
      <c r="P690">
        <f>_xlfn.XLOOKUP(A690,'[1]Classic Net to delete'!D:D,'[1]Classic Net to delete'!AA:AA,0)</f>
        <v>643</v>
      </c>
    </row>
    <row r="691" spans="1:16" x14ac:dyDescent="0.25">
      <c r="A691" t="s">
        <v>962</v>
      </c>
      <c r="B691" t="s">
        <v>963</v>
      </c>
      <c r="C691">
        <v>87.74</v>
      </c>
      <c r="D691" t="s">
        <v>954</v>
      </c>
      <c r="E691" t="str">
        <f>CONCATENATE(J691,". ",N691)</f>
        <v>. Painting and Preparation</v>
      </c>
      <c r="F691">
        <v>75</v>
      </c>
      <c r="G691" t="b">
        <v>0</v>
      </c>
      <c r="H691">
        <v>0</v>
      </c>
      <c r="K691" s="188">
        <f>IFERROR(_xlfn.XLOOKUP(A691,[1]Fleet!A:A,[1]Fleet!E:E,""),"")</f>
        <v>2</v>
      </c>
      <c r="L691" s="188" t="s">
        <v>76</v>
      </c>
      <c r="M691" s="188" t="s">
        <v>76</v>
      </c>
      <c r="N691" s="188" t="s">
        <v>964</v>
      </c>
      <c r="O691">
        <v>697</v>
      </c>
      <c r="P691">
        <f>_xlfn.XLOOKUP(A691,'[1]Classic Net to delete'!D:D,'[1]Classic Net to delete'!AA:AA,0)</f>
        <v>0</v>
      </c>
    </row>
    <row r="692" spans="1:16" x14ac:dyDescent="0.25">
      <c r="A692" t="s">
        <v>970</v>
      </c>
      <c r="B692" t="s">
        <v>971</v>
      </c>
      <c r="C692">
        <v>0</v>
      </c>
      <c r="D692" t="s">
        <v>954</v>
      </c>
      <c r="E692" t="str">
        <f>CONCATENATE(J692,". ",N692)</f>
        <v>. Painting and Preparation</v>
      </c>
      <c r="F692">
        <v>75</v>
      </c>
      <c r="G692" t="b">
        <v>0</v>
      </c>
      <c r="H692">
        <v>0</v>
      </c>
      <c r="K692" s="188">
        <f>IFERROR(_xlfn.XLOOKUP(A692,[1]Fleet!A:A,[1]Fleet!E:E,""),"")</f>
        <v>0</v>
      </c>
      <c r="L692" s="188" t="s">
        <v>76</v>
      </c>
      <c r="M692" s="188" t="s">
        <v>76</v>
      </c>
      <c r="N692" s="188" t="s">
        <v>964</v>
      </c>
      <c r="O692">
        <v>695</v>
      </c>
      <c r="P692">
        <f>_xlfn.XLOOKUP(A692,'[1]Classic Net to delete'!D:D,'[1]Classic Net to delete'!AA:AA,0)</f>
        <v>0</v>
      </c>
    </row>
    <row r="693" spans="1:16" x14ac:dyDescent="0.25">
      <c r="A693" t="s">
        <v>952</v>
      </c>
      <c r="B693" t="s">
        <v>953</v>
      </c>
      <c r="C693">
        <v>0</v>
      </c>
      <c r="D693" t="s">
        <v>954</v>
      </c>
      <c r="E693" t="str">
        <f>CONCATENATE(J693,". ",N693)</f>
        <v>01. Paint Spraying</v>
      </c>
      <c r="F693">
        <v>75</v>
      </c>
      <c r="G693" t="b">
        <v>1</v>
      </c>
      <c r="H693">
        <v>532</v>
      </c>
      <c r="J693" s="193" t="s">
        <v>20</v>
      </c>
      <c r="K693" s="188">
        <f>IFERROR(_xlfn.XLOOKUP(A693,[1]Fleet!A:A,[1]Fleet!E:E,""),"")</f>
        <v>4</v>
      </c>
      <c r="L693" s="188">
        <v>199.9</v>
      </c>
      <c r="M693" s="188" t="s">
        <v>953</v>
      </c>
      <c r="N693" s="188" t="s">
        <v>955</v>
      </c>
      <c r="O693">
        <v>691</v>
      </c>
      <c r="P693">
        <f>_xlfn.XLOOKUP(A693,'[1]Classic Net to delete'!D:D,'[1]Classic Net to delete'!AA:AA,0)</f>
        <v>532</v>
      </c>
    </row>
    <row r="694" spans="1:16" x14ac:dyDescent="0.25">
      <c r="A694" t="s">
        <v>2237</v>
      </c>
      <c r="B694" t="s">
        <v>2238</v>
      </c>
      <c r="C694">
        <v>21.19</v>
      </c>
      <c r="D694" t="s">
        <v>954</v>
      </c>
      <c r="E694" t="str">
        <f>CONCATENATE(J694,". ",N694)</f>
        <v>01. Paint Spraying</v>
      </c>
      <c r="F694">
        <v>75</v>
      </c>
      <c r="G694" t="b">
        <v>1</v>
      </c>
      <c r="H694">
        <v>533</v>
      </c>
      <c r="J694" s="193" t="s">
        <v>20</v>
      </c>
      <c r="K694" s="188" t="str">
        <f>IFERROR(_xlfn.XLOOKUP(A694,[1]Fleet!A:A,[1]Fleet!E:E,""),"")</f>
        <v/>
      </c>
      <c r="L694" s="188">
        <v>19.8</v>
      </c>
      <c r="M694" s="188" t="s">
        <v>2239</v>
      </c>
      <c r="N694" s="188" t="s">
        <v>955</v>
      </c>
      <c r="O694">
        <v>701</v>
      </c>
      <c r="P694">
        <f>_xlfn.XLOOKUP(A694,'[1]Classic Net to delete'!D:D,'[1]Classic Net to delete'!AA:AA,0)</f>
        <v>533</v>
      </c>
    </row>
    <row r="695" spans="1:16" x14ac:dyDescent="0.25">
      <c r="A695" t="s">
        <v>2243</v>
      </c>
      <c r="B695" t="s">
        <v>2244</v>
      </c>
      <c r="C695">
        <v>3.8000000000000003</v>
      </c>
      <c r="D695" t="s">
        <v>954</v>
      </c>
      <c r="E695" t="str">
        <f>CONCATENATE(J695,". ",N695)</f>
        <v>01. Paint Spraying</v>
      </c>
      <c r="F695">
        <v>75</v>
      </c>
      <c r="G695" t="b">
        <v>1</v>
      </c>
      <c r="H695">
        <v>534</v>
      </c>
      <c r="J695" s="193" t="s">
        <v>20</v>
      </c>
      <c r="K695" s="188" t="str">
        <f>IFERROR(_xlfn.XLOOKUP(A695,[1]Fleet!A:A,[1]Fleet!E:E,""),"")</f>
        <v/>
      </c>
      <c r="L695" s="188">
        <v>3.5500000000000003</v>
      </c>
      <c r="M695" s="188" t="s">
        <v>2244</v>
      </c>
      <c r="N695" s="188" t="s">
        <v>955</v>
      </c>
      <c r="O695">
        <v>699</v>
      </c>
      <c r="P695">
        <f>_xlfn.XLOOKUP(A695,'[1]Classic Net to delete'!D:D,'[1]Classic Net to delete'!AA:AA,0)</f>
        <v>534</v>
      </c>
    </row>
    <row r="696" spans="1:16" x14ac:dyDescent="0.25">
      <c r="A696" t="s">
        <v>967</v>
      </c>
      <c r="B696" t="s">
        <v>968</v>
      </c>
      <c r="C696">
        <v>43.87</v>
      </c>
      <c r="D696" t="s">
        <v>954</v>
      </c>
      <c r="E696" t="str">
        <f>CONCATENATE(J696,". ",N696)</f>
        <v>02. General Decorating</v>
      </c>
      <c r="F696">
        <v>75</v>
      </c>
      <c r="G696" t="b">
        <v>1</v>
      </c>
      <c r="H696">
        <v>538</v>
      </c>
      <c r="J696" s="193" t="s">
        <v>189</v>
      </c>
      <c r="K696" s="188">
        <f>IFERROR(_xlfn.XLOOKUP(A696,[1]Fleet!A:A,[1]Fleet!E:E,""),"")</f>
        <v>12</v>
      </c>
      <c r="L696" s="188">
        <v>41</v>
      </c>
      <c r="M696" s="188" t="s">
        <v>969</v>
      </c>
      <c r="N696" s="188" t="s">
        <v>959</v>
      </c>
      <c r="O696">
        <v>694</v>
      </c>
      <c r="P696">
        <f>_xlfn.XLOOKUP(A696,'[1]Classic Net to delete'!D:D,'[1]Classic Net to delete'!AA:AA,0)</f>
        <v>538</v>
      </c>
    </row>
    <row r="697" spans="1:16" x14ac:dyDescent="0.25">
      <c r="A697" t="s">
        <v>2240</v>
      </c>
      <c r="B697" t="s">
        <v>2241</v>
      </c>
      <c r="C697">
        <v>10.75</v>
      </c>
      <c r="D697" t="s">
        <v>954</v>
      </c>
      <c r="E697" t="str">
        <f>CONCATENATE(J697,". ",N697)</f>
        <v>02. General Decorating</v>
      </c>
      <c r="F697">
        <v>75</v>
      </c>
      <c r="G697" t="b">
        <v>1</v>
      </c>
      <c r="H697">
        <v>539</v>
      </c>
      <c r="J697" s="193" t="s">
        <v>189</v>
      </c>
      <c r="K697" s="188" t="str">
        <f>IFERROR(_xlfn.XLOOKUP(A697,[1]Fleet!A:A,[1]Fleet!E:E,""),"")</f>
        <v/>
      </c>
      <c r="L697" s="188">
        <v>10.050000000000001</v>
      </c>
      <c r="M697" s="188" t="s">
        <v>2242</v>
      </c>
      <c r="N697" s="188" t="s">
        <v>959</v>
      </c>
      <c r="O697">
        <v>700</v>
      </c>
      <c r="P697">
        <f>_xlfn.XLOOKUP(A697,'[1]Classic Net to delete'!D:D,'[1]Classic Net to delete'!AA:AA,0)</f>
        <v>539</v>
      </c>
    </row>
    <row r="698" spans="1:16" x14ac:dyDescent="0.25">
      <c r="A698" t="s">
        <v>960</v>
      </c>
      <c r="B698" t="s">
        <v>961</v>
      </c>
      <c r="C698">
        <v>75.38</v>
      </c>
      <c r="D698" t="s">
        <v>954</v>
      </c>
      <c r="E698" t="str">
        <f>CONCATENATE(J698,". ",N698)</f>
        <v>02. General Decorating</v>
      </c>
      <c r="F698">
        <v>75</v>
      </c>
      <c r="G698" t="b">
        <v>1</v>
      </c>
      <c r="H698">
        <v>540</v>
      </c>
      <c r="J698" s="193" t="s">
        <v>189</v>
      </c>
      <c r="K698" s="188">
        <f>IFERROR(_xlfn.XLOOKUP(A698,[1]Fleet!A:A,[1]Fleet!E:E,""),"")</f>
        <v>19</v>
      </c>
      <c r="L698" s="188">
        <v>70.45</v>
      </c>
      <c r="M698" s="188" t="s">
        <v>961</v>
      </c>
      <c r="N698" s="188" t="s">
        <v>959</v>
      </c>
      <c r="O698">
        <v>693</v>
      </c>
      <c r="P698">
        <f>_xlfn.XLOOKUP(A698,'[1]Classic Net to delete'!D:D,'[1]Classic Net to delete'!AA:AA,0)</f>
        <v>540</v>
      </c>
    </row>
    <row r="699" spans="1:16" x14ac:dyDescent="0.25">
      <c r="A699" t="s">
        <v>965</v>
      </c>
      <c r="B699" t="s">
        <v>966</v>
      </c>
      <c r="C699">
        <v>101.17</v>
      </c>
      <c r="D699" t="s">
        <v>954</v>
      </c>
      <c r="E699" t="str">
        <f>CONCATENATE(J699,". ",N699)</f>
        <v>02. General Decorating</v>
      </c>
      <c r="F699">
        <v>75</v>
      </c>
      <c r="G699" t="b">
        <v>1</v>
      </c>
      <c r="H699">
        <v>541</v>
      </c>
      <c r="J699" s="193" t="s">
        <v>189</v>
      </c>
      <c r="K699" s="188">
        <f>IFERROR(_xlfn.XLOOKUP(A699,[1]Fleet!A:A,[1]Fleet!E:E,""),"")</f>
        <v>4</v>
      </c>
      <c r="L699" s="188">
        <v>94.550000000000011</v>
      </c>
      <c r="M699" s="188" t="s">
        <v>966</v>
      </c>
      <c r="N699" s="188" t="s">
        <v>959</v>
      </c>
      <c r="O699">
        <v>698</v>
      </c>
      <c r="P699">
        <f>_xlfn.XLOOKUP(A699,'[1]Classic Net to delete'!D:D,'[1]Classic Net to delete'!AA:AA,0)</f>
        <v>541</v>
      </c>
    </row>
    <row r="700" spans="1:16" x14ac:dyDescent="0.25">
      <c r="A700" t="s">
        <v>956</v>
      </c>
      <c r="B700" t="s">
        <v>957</v>
      </c>
      <c r="C700">
        <v>28.36</v>
      </c>
      <c r="D700" t="s">
        <v>954</v>
      </c>
      <c r="E700" t="str">
        <f>CONCATENATE(J700,". ",N700)</f>
        <v>02. General Decorating</v>
      </c>
      <c r="F700">
        <v>75</v>
      </c>
      <c r="G700" t="b">
        <v>1</v>
      </c>
      <c r="H700">
        <v>542</v>
      </c>
      <c r="J700" s="193" t="s">
        <v>189</v>
      </c>
      <c r="K700" s="188">
        <f>IFERROR(_xlfn.XLOOKUP(A700,[1]Fleet!A:A,[1]Fleet!E:E,""),"")</f>
        <v>16</v>
      </c>
      <c r="L700" s="188">
        <v>26.5</v>
      </c>
      <c r="M700" s="188" t="s">
        <v>958</v>
      </c>
      <c r="N700" s="188" t="s">
        <v>959</v>
      </c>
      <c r="O700">
        <v>692</v>
      </c>
      <c r="P700">
        <f>_xlfn.XLOOKUP(A700,'[1]Classic Net to delete'!D:D,'[1]Classic Net to delete'!AA:AA,0)</f>
        <v>542</v>
      </c>
    </row>
    <row r="701" spans="1:16" x14ac:dyDescent="0.25">
      <c r="A701" t="s">
        <v>972</v>
      </c>
      <c r="B701" t="s">
        <v>973</v>
      </c>
      <c r="C701">
        <v>21.19</v>
      </c>
      <c r="D701" t="s">
        <v>954</v>
      </c>
      <c r="E701" t="str">
        <f>CONCATENATE(J701,". ",N701)</f>
        <v>02. General Decorating</v>
      </c>
      <c r="F701">
        <v>75</v>
      </c>
      <c r="G701" t="b">
        <v>1</v>
      </c>
      <c r="H701">
        <v>544</v>
      </c>
      <c r="J701" s="193" t="s">
        <v>189</v>
      </c>
      <c r="K701" s="188">
        <f>IFERROR(_xlfn.XLOOKUP(A701,[1]Fleet!A:A,[1]Fleet!E:E,""),"")</f>
        <v>3</v>
      </c>
      <c r="L701" s="188">
        <v>19.8</v>
      </c>
      <c r="M701" s="188" t="s">
        <v>973</v>
      </c>
      <c r="N701" s="188" t="s">
        <v>959</v>
      </c>
      <c r="O701">
        <v>696</v>
      </c>
      <c r="P701">
        <f>_xlfn.XLOOKUP(A701,'[1]Classic Net to delete'!D:D,'[1]Classic Net to delete'!AA:AA,0)</f>
        <v>544</v>
      </c>
    </row>
    <row r="702" spans="1:16" x14ac:dyDescent="0.25">
      <c r="A702" t="s">
        <v>3000</v>
      </c>
      <c r="B702" t="s">
        <v>3001</v>
      </c>
      <c r="C702">
        <v>0</v>
      </c>
      <c r="D702" t="s">
        <v>3002</v>
      </c>
      <c r="E702" t="str">
        <f>CONCATENATE(J702,". ",N702)</f>
        <v>. Plant</v>
      </c>
      <c r="F702">
        <v>75</v>
      </c>
      <c r="G702" t="b">
        <v>0</v>
      </c>
      <c r="H702">
        <v>0</v>
      </c>
      <c r="K702" s="188" t="str">
        <f>IFERROR(_xlfn.XLOOKUP(A702,[1]Fleet!A:A,[1]Fleet!E:E,""),"")</f>
        <v/>
      </c>
      <c r="L702" s="188" t="s">
        <v>76</v>
      </c>
      <c r="M702" s="188" t="s">
        <v>76</v>
      </c>
      <c r="N702" s="188" t="s">
        <v>3003</v>
      </c>
      <c r="O702">
        <v>702</v>
      </c>
      <c r="P702">
        <f>_xlfn.XLOOKUP(A702,'[1]Classic Net to delete'!D:D,'[1]Classic Net to delete'!AA:AA,0)</f>
        <v>0</v>
      </c>
    </row>
    <row r="703" spans="1:16" x14ac:dyDescent="0.25">
      <c r="A703" t="s">
        <v>3000</v>
      </c>
      <c r="B703" t="s">
        <v>3004</v>
      </c>
      <c r="C703">
        <v>0</v>
      </c>
      <c r="D703" t="s">
        <v>3002</v>
      </c>
      <c r="E703" t="str">
        <f>CONCATENATE(J703,". ",N703)</f>
        <v>. Plant</v>
      </c>
      <c r="F703">
        <v>75</v>
      </c>
      <c r="G703" t="b">
        <v>0</v>
      </c>
      <c r="H703">
        <v>0</v>
      </c>
      <c r="K703" s="188" t="str">
        <f>IFERROR(_xlfn.XLOOKUP(A703,[1]Fleet!A:A,[1]Fleet!E:E,""),"")</f>
        <v/>
      </c>
      <c r="L703" s="188" t="s">
        <v>76</v>
      </c>
      <c r="M703" s="188" t="s">
        <v>76</v>
      </c>
      <c r="N703" s="188" t="s">
        <v>3003</v>
      </c>
      <c r="O703">
        <v>703</v>
      </c>
      <c r="P703">
        <f>_xlfn.XLOOKUP(A703,'[1]Classic Net to delete'!D:D,'[1]Classic Net to delete'!AA:AA,0)</f>
        <v>0</v>
      </c>
    </row>
    <row r="704" spans="1:16" x14ac:dyDescent="0.25">
      <c r="A704" t="s">
        <v>3000</v>
      </c>
      <c r="B704" t="s">
        <v>3005</v>
      </c>
      <c r="C704">
        <v>0</v>
      </c>
      <c r="D704" t="s">
        <v>3002</v>
      </c>
      <c r="E704" t="str">
        <f>CONCATENATE(J704,". ",N704)</f>
        <v>. Plant</v>
      </c>
      <c r="F704">
        <v>75</v>
      </c>
      <c r="G704" t="b">
        <v>0</v>
      </c>
      <c r="H704">
        <v>0</v>
      </c>
      <c r="K704" s="188" t="str">
        <f>IFERROR(_xlfn.XLOOKUP(A704,[1]Fleet!A:A,[1]Fleet!E:E,""),"")</f>
        <v/>
      </c>
      <c r="L704" s="188" t="s">
        <v>76</v>
      </c>
      <c r="M704" s="188" t="s">
        <v>76</v>
      </c>
      <c r="N704" s="188" t="s">
        <v>3003</v>
      </c>
      <c r="O704">
        <v>704</v>
      </c>
      <c r="P704">
        <f>_xlfn.XLOOKUP(A704,'[1]Classic Net to delete'!D:D,'[1]Classic Net to delete'!AA:AA,0)</f>
        <v>0</v>
      </c>
    </row>
    <row r="705" spans="1:16" x14ac:dyDescent="0.25">
      <c r="A705" t="s">
        <v>3000</v>
      </c>
      <c r="B705" t="s">
        <v>3006</v>
      </c>
      <c r="C705">
        <v>0</v>
      </c>
      <c r="D705" t="s">
        <v>3002</v>
      </c>
      <c r="E705" t="str">
        <f>CONCATENATE(J705,". ",N705)</f>
        <v>. Plant</v>
      </c>
      <c r="F705">
        <v>75</v>
      </c>
      <c r="G705" t="b">
        <v>0</v>
      </c>
      <c r="H705">
        <v>0</v>
      </c>
      <c r="K705" s="188" t="str">
        <f>IFERROR(_xlfn.XLOOKUP(A705,[1]Fleet!A:A,[1]Fleet!E:E,""),"")</f>
        <v/>
      </c>
      <c r="L705" s="188" t="s">
        <v>76</v>
      </c>
      <c r="M705" s="188" t="s">
        <v>76</v>
      </c>
      <c r="N705" s="188" t="s">
        <v>3003</v>
      </c>
      <c r="O705">
        <v>705</v>
      </c>
      <c r="P705">
        <f>_xlfn.XLOOKUP(A705,'[1]Classic Net to delete'!D:D,'[1]Classic Net to delete'!AA:AA,0)</f>
        <v>0</v>
      </c>
    </row>
    <row r="706" spans="1:16" x14ac:dyDescent="0.25">
      <c r="A706" t="s">
        <v>3000</v>
      </c>
      <c r="B706" t="s">
        <v>3007</v>
      </c>
      <c r="C706">
        <v>0</v>
      </c>
      <c r="D706" t="s">
        <v>3002</v>
      </c>
      <c r="E706" t="str">
        <f>CONCATENATE(J706,". ",N706)</f>
        <v>. Plant</v>
      </c>
      <c r="F706">
        <v>75</v>
      </c>
      <c r="G706" t="b">
        <v>0</v>
      </c>
      <c r="H706">
        <v>0</v>
      </c>
      <c r="K706" s="188" t="str">
        <f>IFERROR(_xlfn.XLOOKUP(A706,[1]Fleet!A:A,[1]Fleet!E:E,""),"")</f>
        <v/>
      </c>
      <c r="L706" s="188" t="s">
        <v>76</v>
      </c>
      <c r="M706" s="188" t="s">
        <v>76</v>
      </c>
      <c r="N706" s="188" t="s">
        <v>3003</v>
      </c>
      <c r="O706">
        <v>706</v>
      </c>
      <c r="P706">
        <f>_xlfn.XLOOKUP(A706,'[1]Classic Net to delete'!D:D,'[1]Classic Net to delete'!AA:AA,0)</f>
        <v>0</v>
      </c>
    </row>
    <row r="707" spans="1:16" x14ac:dyDescent="0.25">
      <c r="A707" t="s">
        <v>3000</v>
      </c>
      <c r="B707" t="s">
        <v>3008</v>
      </c>
      <c r="C707">
        <v>0</v>
      </c>
      <c r="D707" t="s">
        <v>3002</v>
      </c>
      <c r="E707" t="str">
        <f>CONCATENATE(J707,". ",N707)</f>
        <v>. Plant</v>
      </c>
      <c r="F707">
        <v>75</v>
      </c>
      <c r="G707" t="b">
        <v>0</v>
      </c>
      <c r="H707">
        <v>0</v>
      </c>
      <c r="K707" s="188" t="str">
        <f>IFERROR(_xlfn.XLOOKUP(A707,[1]Fleet!A:A,[1]Fleet!E:E,""),"")</f>
        <v/>
      </c>
      <c r="L707" s="188" t="s">
        <v>76</v>
      </c>
      <c r="M707" s="188" t="s">
        <v>76</v>
      </c>
      <c r="N707" s="188" t="s">
        <v>3003</v>
      </c>
      <c r="O707">
        <v>707</v>
      </c>
      <c r="P707">
        <f>_xlfn.XLOOKUP(A707,'[1]Classic Net to delete'!D:D,'[1]Classic Net to delete'!AA:AA,0)</f>
        <v>0</v>
      </c>
    </row>
    <row r="708" spans="1:16" x14ac:dyDescent="0.25">
      <c r="A708" t="s">
        <v>3000</v>
      </c>
      <c r="B708" t="s">
        <v>3009</v>
      </c>
      <c r="C708">
        <v>0</v>
      </c>
      <c r="D708" t="s">
        <v>3002</v>
      </c>
      <c r="E708" t="str">
        <f>CONCATENATE(J708,". ",N708)</f>
        <v>. Plant</v>
      </c>
      <c r="F708">
        <v>75</v>
      </c>
      <c r="G708" t="b">
        <v>0</v>
      </c>
      <c r="H708">
        <v>0</v>
      </c>
      <c r="K708" s="188" t="str">
        <f>IFERROR(_xlfn.XLOOKUP(A708,[1]Fleet!A:A,[1]Fleet!E:E,""),"")</f>
        <v/>
      </c>
      <c r="L708" s="188" t="s">
        <v>76</v>
      </c>
      <c r="M708" s="188" t="s">
        <v>76</v>
      </c>
      <c r="N708" s="188" t="s">
        <v>3003</v>
      </c>
      <c r="O708">
        <v>708</v>
      </c>
      <c r="P708">
        <f>_xlfn.XLOOKUP(A708,'[1]Classic Net to delete'!D:D,'[1]Classic Net to delete'!AA:AA,0)</f>
        <v>0</v>
      </c>
    </row>
    <row r="709" spans="1:16" x14ac:dyDescent="0.25">
      <c r="A709" t="s">
        <v>3000</v>
      </c>
      <c r="B709" t="s">
        <v>3010</v>
      </c>
      <c r="C709">
        <v>0</v>
      </c>
      <c r="D709" t="s">
        <v>3002</v>
      </c>
      <c r="E709" t="str">
        <f>CONCATENATE(J709,". ",N709)</f>
        <v>. Plant</v>
      </c>
      <c r="F709">
        <v>75</v>
      </c>
      <c r="G709" t="b">
        <v>0</v>
      </c>
      <c r="H709">
        <v>0</v>
      </c>
      <c r="K709" s="188" t="str">
        <f>IFERROR(_xlfn.XLOOKUP(A709,[1]Fleet!A:A,[1]Fleet!E:E,""),"")</f>
        <v/>
      </c>
      <c r="L709" s="188" t="s">
        <v>76</v>
      </c>
      <c r="M709" s="188" t="s">
        <v>76</v>
      </c>
      <c r="N709" s="188" t="s">
        <v>3003</v>
      </c>
      <c r="O709">
        <v>709</v>
      </c>
      <c r="P709">
        <f>_xlfn.XLOOKUP(A709,'[1]Classic Net to delete'!D:D,'[1]Classic Net to delete'!AA:AA,0)</f>
        <v>0</v>
      </c>
    </row>
    <row r="710" spans="1:16" x14ac:dyDescent="0.25">
      <c r="A710" t="s">
        <v>3000</v>
      </c>
      <c r="B710" t="s">
        <v>3011</v>
      </c>
      <c r="C710">
        <v>0</v>
      </c>
      <c r="D710" t="s">
        <v>3002</v>
      </c>
      <c r="E710" t="str">
        <f>CONCATENATE(J710,". ",N710)</f>
        <v>. Plant</v>
      </c>
      <c r="F710">
        <v>75</v>
      </c>
      <c r="G710" t="b">
        <v>0</v>
      </c>
      <c r="H710">
        <v>0</v>
      </c>
      <c r="K710" s="188" t="str">
        <f>IFERROR(_xlfn.XLOOKUP(A710,[1]Fleet!A:A,[1]Fleet!E:E,""),"")</f>
        <v/>
      </c>
      <c r="L710" s="188" t="s">
        <v>76</v>
      </c>
      <c r="M710" s="188" t="s">
        <v>76</v>
      </c>
      <c r="N710" s="188" t="s">
        <v>3003</v>
      </c>
      <c r="O710">
        <v>710</v>
      </c>
      <c r="P710">
        <f>_xlfn.XLOOKUP(A710,'[1]Classic Net to delete'!D:D,'[1]Classic Net to delete'!AA:AA,0)</f>
        <v>0</v>
      </c>
    </row>
    <row r="711" spans="1:16" x14ac:dyDescent="0.25">
      <c r="A711" t="s">
        <v>3000</v>
      </c>
      <c r="B711" t="s">
        <v>3012</v>
      </c>
      <c r="C711">
        <v>0</v>
      </c>
      <c r="D711" t="s">
        <v>3002</v>
      </c>
      <c r="E711" t="str">
        <f>CONCATENATE(J711,". ",N711)</f>
        <v>. Plant</v>
      </c>
      <c r="F711">
        <v>75</v>
      </c>
      <c r="G711" t="b">
        <v>0</v>
      </c>
      <c r="H711">
        <v>0</v>
      </c>
      <c r="K711" s="188" t="str">
        <f>IFERROR(_xlfn.XLOOKUP(A711,[1]Fleet!A:A,[1]Fleet!E:E,""),"")</f>
        <v/>
      </c>
      <c r="L711" s="188" t="s">
        <v>76</v>
      </c>
      <c r="M711" s="188" t="s">
        <v>76</v>
      </c>
      <c r="N711" s="188" t="s">
        <v>3003</v>
      </c>
      <c r="O711">
        <v>711</v>
      </c>
      <c r="P711">
        <f>_xlfn.XLOOKUP(A711,'[1]Classic Net to delete'!D:D,'[1]Classic Net to delete'!AA:AA,0)</f>
        <v>0</v>
      </c>
    </row>
    <row r="712" spans="1:16" x14ac:dyDescent="0.25">
      <c r="A712" t="s">
        <v>3000</v>
      </c>
      <c r="B712" t="s">
        <v>3013</v>
      </c>
      <c r="C712">
        <v>0</v>
      </c>
      <c r="D712" t="s">
        <v>3002</v>
      </c>
      <c r="E712" t="str">
        <f>CONCATENATE(J712,". ",N712)</f>
        <v>. Plant</v>
      </c>
      <c r="F712">
        <v>75</v>
      </c>
      <c r="G712" t="b">
        <v>0</v>
      </c>
      <c r="H712">
        <v>0</v>
      </c>
      <c r="K712" s="188" t="str">
        <f>IFERROR(_xlfn.XLOOKUP(A712,[1]Fleet!A:A,[1]Fleet!E:E,""),"")</f>
        <v/>
      </c>
      <c r="L712" s="188" t="s">
        <v>76</v>
      </c>
      <c r="M712" s="188" t="s">
        <v>76</v>
      </c>
      <c r="N712" s="188" t="s">
        <v>3003</v>
      </c>
      <c r="O712">
        <v>712</v>
      </c>
      <c r="P712">
        <f>_xlfn.XLOOKUP(A712,'[1]Classic Net to delete'!D:D,'[1]Classic Net to delete'!AA:AA,0)</f>
        <v>0</v>
      </c>
    </row>
    <row r="713" spans="1:16" x14ac:dyDescent="0.25">
      <c r="A713" t="s">
        <v>3000</v>
      </c>
      <c r="B713" t="s">
        <v>3014</v>
      </c>
      <c r="C713">
        <v>0</v>
      </c>
      <c r="D713" t="s">
        <v>3002</v>
      </c>
      <c r="E713" t="str">
        <f>CONCATENATE(J713,". ",N713)</f>
        <v>. Plant</v>
      </c>
      <c r="F713">
        <v>75</v>
      </c>
      <c r="G713" t="b">
        <v>0</v>
      </c>
      <c r="H713">
        <v>0</v>
      </c>
      <c r="K713" s="188" t="str">
        <f>IFERROR(_xlfn.XLOOKUP(A713,[1]Fleet!A:A,[1]Fleet!E:E,""),"")</f>
        <v/>
      </c>
      <c r="L713" s="188" t="s">
        <v>76</v>
      </c>
      <c r="M713" s="188" t="s">
        <v>76</v>
      </c>
      <c r="N713" s="188" t="s">
        <v>3003</v>
      </c>
      <c r="O713">
        <v>713</v>
      </c>
      <c r="P713">
        <f>_xlfn.XLOOKUP(A713,'[1]Classic Net to delete'!D:D,'[1]Classic Net to delete'!AA:AA,0)</f>
        <v>0</v>
      </c>
    </row>
    <row r="714" spans="1:16" x14ac:dyDescent="0.25">
      <c r="A714" t="s">
        <v>3000</v>
      </c>
      <c r="B714" t="s">
        <v>3015</v>
      </c>
      <c r="C714">
        <v>0</v>
      </c>
      <c r="D714" t="s">
        <v>3002</v>
      </c>
      <c r="E714" t="str">
        <f>CONCATENATE(J714,". ",N714)</f>
        <v>. Plant</v>
      </c>
      <c r="F714">
        <v>75</v>
      </c>
      <c r="G714" t="b">
        <v>0</v>
      </c>
      <c r="H714">
        <v>0</v>
      </c>
      <c r="K714" s="188" t="str">
        <f>IFERROR(_xlfn.XLOOKUP(A714,[1]Fleet!A:A,[1]Fleet!E:E,""),"")</f>
        <v/>
      </c>
      <c r="L714" s="188" t="s">
        <v>76</v>
      </c>
      <c r="M714" s="188" t="s">
        <v>76</v>
      </c>
      <c r="N714" s="188" t="s">
        <v>3003</v>
      </c>
      <c r="O714">
        <v>714</v>
      </c>
      <c r="P714">
        <f>_xlfn.XLOOKUP(A714,'[1]Classic Net to delete'!D:D,'[1]Classic Net to delete'!AA:AA,0)</f>
        <v>0</v>
      </c>
    </row>
    <row r="715" spans="1:16" x14ac:dyDescent="0.25">
      <c r="A715" t="s">
        <v>3000</v>
      </c>
      <c r="B715" t="s">
        <v>3016</v>
      </c>
      <c r="C715">
        <v>0</v>
      </c>
      <c r="D715" t="s">
        <v>3002</v>
      </c>
      <c r="E715" t="str">
        <f>CONCATENATE(J715,". ",N715)</f>
        <v>. Plant</v>
      </c>
      <c r="F715">
        <v>75</v>
      </c>
      <c r="G715" t="b">
        <v>0</v>
      </c>
      <c r="H715">
        <v>0</v>
      </c>
      <c r="K715" s="188" t="str">
        <f>IFERROR(_xlfn.XLOOKUP(A715,[1]Fleet!A:A,[1]Fleet!E:E,""),"")</f>
        <v/>
      </c>
      <c r="L715" s="188" t="s">
        <v>76</v>
      </c>
      <c r="M715" s="188" t="s">
        <v>76</v>
      </c>
      <c r="N715" s="188" t="s">
        <v>3003</v>
      </c>
      <c r="O715">
        <v>715</v>
      </c>
      <c r="P715">
        <f>_xlfn.XLOOKUP(A715,'[1]Classic Net to delete'!D:D,'[1]Classic Net to delete'!AA:AA,0)</f>
        <v>0</v>
      </c>
    </row>
    <row r="716" spans="1:16" x14ac:dyDescent="0.25">
      <c r="A716" t="s">
        <v>3000</v>
      </c>
      <c r="B716" t="s">
        <v>3017</v>
      </c>
      <c r="C716">
        <v>0</v>
      </c>
      <c r="D716" t="s">
        <v>3002</v>
      </c>
      <c r="E716" t="str">
        <f>CONCATENATE(J716,". ",N716)</f>
        <v>. Plant</v>
      </c>
      <c r="F716">
        <v>75</v>
      </c>
      <c r="G716" t="b">
        <v>0</v>
      </c>
      <c r="H716">
        <v>0</v>
      </c>
      <c r="K716" s="188" t="str">
        <f>IFERROR(_xlfn.XLOOKUP(A716,[1]Fleet!A:A,[1]Fleet!E:E,""),"")</f>
        <v/>
      </c>
      <c r="L716" s="188" t="s">
        <v>76</v>
      </c>
      <c r="M716" s="188" t="s">
        <v>76</v>
      </c>
      <c r="N716" s="188" t="s">
        <v>3003</v>
      </c>
      <c r="O716">
        <v>716</v>
      </c>
      <c r="P716">
        <f>_xlfn.XLOOKUP(A716,'[1]Classic Net to delete'!D:D,'[1]Classic Net to delete'!AA:AA,0)</f>
        <v>0</v>
      </c>
    </row>
    <row r="717" spans="1:16" x14ac:dyDescent="0.25">
      <c r="A717" t="s">
        <v>1529</v>
      </c>
      <c r="B717" t="s">
        <v>1530</v>
      </c>
      <c r="C717">
        <v>0</v>
      </c>
      <c r="D717" t="s">
        <v>1472</v>
      </c>
      <c r="E717" t="str">
        <f>CONCATENATE(J717,". ",N717)</f>
        <v>. Pipework</v>
      </c>
      <c r="F717">
        <v>75</v>
      </c>
      <c r="G717" t="b">
        <v>0</v>
      </c>
      <c r="H717">
        <v>0</v>
      </c>
      <c r="K717" s="188" t="str">
        <f>IFERROR(_xlfn.XLOOKUP(A717,[1]Fleet!A:A,[1]Fleet!E:E,""),"")</f>
        <v/>
      </c>
      <c r="L717" s="188" t="s">
        <v>76</v>
      </c>
      <c r="M717" s="188" t="s">
        <v>76</v>
      </c>
      <c r="N717" s="188" t="s">
        <v>1531</v>
      </c>
      <c r="O717">
        <v>750</v>
      </c>
      <c r="P717">
        <f>_xlfn.XLOOKUP(A717,'[1]Classic Net to delete'!D:D,'[1]Classic Net to delete'!AA:AA,0)</f>
        <v>0</v>
      </c>
    </row>
    <row r="718" spans="1:16" x14ac:dyDescent="0.25">
      <c r="A718" t="s">
        <v>1501</v>
      </c>
      <c r="B718" t="s">
        <v>1502</v>
      </c>
      <c r="C718">
        <v>48.26</v>
      </c>
      <c r="D718" t="s">
        <v>1472</v>
      </c>
      <c r="E718" t="str">
        <f>CONCATENATE(J718,". ",N718)</f>
        <v>01. Threading &amp; Grooving</v>
      </c>
      <c r="F718">
        <v>75</v>
      </c>
      <c r="G718" t="b">
        <v>1</v>
      </c>
      <c r="H718">
        <v>838</v>
      </c>
      <c r="J718" s="193" t="s">
        <v>20</v>
      </c>
      <c r="K718" s="188">
        <f>IFERROR(_xlfn.XLOOKUP(A718,[1]Fleet!A:A,[1]Fleet!E:E,""),"")</f>
        <v>1</v>
      </c>
      <c r="L718" s="188">
        <v>45.1</v>
      </c>
      <c r="M718" s="188" t="s">
        <v>1503</v>
      </c>
      <c r="N718" s="188" t="s">
        <v>1495</v>
      </c>
      <c r="O718">
        <v>738</v>
      </c>
      <c r="P718">
        <f>_xlfn.XLOOKUP(A718,'[1]Classic Net to delete'!D:D,'[1]Classic Net to delete'!AA:AA,0)</f>
        <v>838</v>
      </c>
    </row>
    <row r="719" spans="1:16" x14ac:dyDescent="0.25">
      <c r="A719" t="s">
        <v>1504</v>
      </c>
      <c r="B719" t="s">
        <v>1505</v>
      </c>
      <c r="C719">
        <v>48.26</v>
      </c>
      <c r="D719" t="s">
        <v>1472</v>
      </c>
      <c r="E719" t="str">
        <f>CONCATENATE(J719,". ",N719)</f>
        <v>01. Threading &amp; Grooving</v>
      </c>
      <c r="F719">
        <v>75</v>
      </c>
      <c r="G719" t="b">
        <v>1</v>
      </c>
      <c r="H719">
        <v>839</v>
      </c>
      <c r="J719" s="193" t="s">
        <v>20</v>
      </c>
      <c r="K719" s="188">
        <f>IFERROR(_xlfn.XLOOKUP(A719,[1]Fleet!A:A,[1]Fleet!E:E,""),"")</f>
        <v>2</v>
      </c>
      <c r="L719" s="188">
        <v>45.1</v>
      </c>
      <c r="M719" s="188" t="s">
        <v>1506</v>
      </c>
      <c r="N719" s="188" t="s">
        <v>1495</v>
      </c>
      <c r="O719">
        <v>739</v>
      </c>
      <c r="P719">
        <f>_xlfn.XLOOKUP(A719,'[1]Classic Net to delete'!D:D,'[1]Classic Net to delete'!AA:AA,0)</f>
        <v>839</v>
      </c>
    </row>
    <row r="720" spans="1:16" x14ac:dyDescent="0.25">
      <c r="A720" t="s">
        <v>1492</v>
      </c>
      <c r="B720" t="s">
        <v>1493</v>
      </c>
      <c r="C720">
        <v>97.740000000000009</v>
      </c>
      <c r="D720" t="s">
        <v>1472</v>
      </c>
      <c r="E720" t="str">
        <f>CONCATENATE(J720,". ",N720)</f>
        <v>01. Threading &amp; Grooving</v>
      </c>
      <c r="F720">
        <v>75</v>
      </c>
      <c r="G720" t="b">
        <v>1</v>
      </c>
      <c r="H720">
        <v>840</v>
      </c>
      <c r="J720" s="193" t="s">
        <v>20</v>
      </c>
      <c r="K720" s="188">
        <f>IFERROR(_xlfn.XLOOKUP(A720,[1]Fleet!A:A,[1]Fleet!E:E,""),"")</f>
        <v>2</v>
      </c>
      <c r="L720" s="188">
        <v>91.350000000000009</v>
      </c>
      <c r="M720" s="188" t="s">
        <v>1494</v>
      </c>
      <c r="N720" s="188" t="s">
        <v>1495</v>
      </c>
      <c r="O720">
        <v>735</v>
      </c>
      <c r="P720">
        <f>_xlfn.XLOOKUP(A720,'[1]Classic Net to delete'!D:D,'[1]Classic Net to delete'!AA:AA,0)</f>
        <v>840</v>
      </c>
    </row>
    <row r="721" spans="1:16" x14ac:dyDescent="0.25">
      <c r="A721" t="s">
        <v>1496</v>
      </c>
      <c r="B721" t="s">
        <v>1497</v>
      </c>
      <c r="C721">
        <v>140.38</v>
      </c>
      <c r="D721" t="s">
        <v>1472</v>
      </c>
      <c r="E721" t="str">
        <f>CONCATENATE(J721,". ",N721)</f>
        <v>01. Threading &amp; Grooving</v>
      </c>
      <c r="F721">
        <v>75</v>
      </c>
      <c r="G721" t="b">
        <v>1</v>
      </c>
      <c r="H721">
        <v>843</v>
      </c>
      <c r="J721" s="193" t="s">
        <v>20</v>
      </c>
      <c r="K721" s="188">
        <f>IFERROR(_xlfn.XLOOKUP(A721,[1]Fleet!A:A,[1]Fleet!E:E,""),"")</f>
        <v>4</v>
      </c>
      <c r="L721" s="188">
        <v>131.20000000000002</v>
      </c>
      <c r="M721" s="188" t="s">
        <v>1498</v>
      </c>
      <c r="N721" s="188" t="s">
        <v>1495</v>
      </c>
      <c r="O721">
        <v>736</v>
      </c>
      <c r="P721">
        <f>_xlfn.XLOOKUP(A721,'[1]Classic Net to delete'!D:D,'[1]Classic Net to delete'!AA:AA,0)</f>
        <v>843</v>
      </c>
    </row>
    <row r="722" spans="1:16" x14ac:dyDescent="0.25">
      <c r="A722" t="s">
        <v>1499</v>
      </c>
      <c r="B722" t="s">
        <v>1500</v>
      </c>
      <c r="C722">
        <v>158.63</v>
      </c>
      <c r="D722" t="s">
        <v>1472</v>
      </c>
      <c r="E722" t="str">
        <f>CONCATENATE(J722,". ",N722)</f>
        <v>01. Threading &amp; Grooving</v>
      </c>
      <c r="F722">
        <v>75</v>
      </c>
      <c r="G722" t="b">
        <v>1</v>
      </c>
      <c r="H722">
        <v>847</v>
      </c>
      <c r="J722" s="193" t="s">
        <v>20</v>
      </c>
      <c r="K722" s="188">
        <f>IFERROR(_xlfn.XLOOKUP(A722,[1]Fleet!A:A,[1]Fleet!E:E,""),"")</f>
        <v>1</v>
      </c>
      <c r="L722" s="188">
        <v>148.25</v>
      </c>
      <c r="M722" s="188" t="s">
        <v>1500</v>
      </c>
      <c r="N722" s="188" t="s">
        <v>1495</v>
      </c>
      <c r="O722">
        <v>737</v>
      </c>
      <c r="P722">
        <f>_xlfn.XLOOKUP(A722,'[1]Classic Net to delete'!D:D,'[1]Classic Net to delete'!AA:AA,0)</f>
        <v>847</v>
      </c>
    </row>
    <row r="723" spans="1:16" x14ac:dyDescent="0.25">
      <c r="A723" t="s">
        <v>2452</v>
      </c>
      <c r="B723" t="s">
        <v>2453</v>
      </c>
      <c r="C723">
        <v>34.130000000000003</v>
      </c>
      <c r="D723" t="s">
        <v>1472</v>
      </c>
      <c r="E723" t="str">
        <f>CONCATENATE(J723,". ",N723)</f>
        <v>02. Stands, Racks and Workbenches</v>
      </c>
      <c r="F723">
        <v>75</v>
      </c>
      <c r="G723" t="b">
        <v>1</v>
      </c>
      <c r="H723">
        <v>851</v>
      </c>
      <c r="J723" s="193" t="s">
        <v>189</v>
      </c>
      <c r="K723" s="188" t="str">
        <f>IFERROR(_xlfn.XLOOKUP(A723,[1]Fleet!A:A,[1]Fleet!E:E,""),"")</f>
        <v/>
      </c>
      <c r="L723" s="188">
        <v>31.900000000000002</v>
      </c>
      <c r="M723" s="188" t="s">
        <v>2454</v>
      </c>
      <c r="N723" s="188" t="s">
        <v>1491</v>
      </c>
      <c r="O723">
        <v>717</v>
      </c>
      <c r="P723">
        <f>_xlfn.XLOOKUP(A723,'[1]Classic Net to delete'!D:D,'[1]Classic Net to delete'!AA:AA,0)</f>
        <v>851</v>
      </c>
    </row>
    <row r="724" spans="1:16" x14ac:dyDescent="0.25">
      <c r="A724" t="s">
        <v>1527</v>
      </c>
      <c r="B724" t="s">
        <v>1528</v>
      </c>
      <c r="C724">
        <v>62.22</v>
      </c>
      <c r="D724" t="s">
        <v>1472</v>
      </c>
      <c r="E724" t="str">
        <f>CONCATENATE(J724,". ",N724)</f>
        <v>02. Stands, Racks and Workbenches</v>
      </c>
      <c r="F724">
        <v>75</v>
      </c>
      <c r="G724" t="b">
        <v>1</v>
      </c>
      <c r="H724">
        <v>852</v>
      </c>
      <c r="J724" s="193" t="s">
        <v>189</v>
      </c>
      <c r="K724" s="188">
        <f>IFERROR(_xlfn.XLOOKUP(A724,[1]Fleet!A:A,[1]Fleet!E:E,""),"")</f>
        <v>110</v>
      </c>
      <c r="L724" s="188">
        <v>58.150000000000006</v>
      </c>
      <c r="M724" s="188" t="s">
        <v>1528</v>
      </c>
      <c r="N724" s="188" t="s">
        <v>1491</v>
      </c>
      <c r="O724">
        <v>746</v>
      </c>
      <c r="P724">
        <f>_xlfn.XLOOKUP(A724,'[1]Classic Net to delete'!D:D,'[1]Classic Net to delete'!AA:AA,0)</f>
        <v>852</v>
      </c>
    </row>
    <row r="725" spans="1:16" x14ac:dyDescent="0.25">
      <c r="A725" t="s">
        <v>1532</v>
      </c>
      <c r="B725" t="s">
        <v>1533</v>
      </c>
      <c r="C725">
        <v>75.7</v>
      </c>
      <c r="D725" t="s">
        <v>1472</v>
      </c>
      <c r="E725" t="str">
        <f>CONCATENATE(J725,". ",N725)</f>
        <v>02. Stands, Racks and Workbenches</v>
      </c>
      <c r="F725">
        <v>75</v>
      </c>
      <c r="G725" t="b">
        <v>1</v>
      </c>
      <c r="H725">
        <v>853</v>
      </c>
      <c r="J725" s="193" t="s">
        <v>189</v>
      </c>
      <c r="K725" s="188">
        <f>IFERROR(_xlfn.XLOOKUP(A725,[1]Fleet!A:A,[1]Fleet!E:E,""),"")</f>
        <v>15</v>
      </c>
      <c r="L725" s="188">
        <v>70.75</v>
      </c>
      <c r="M725" s="188" t="s">
        <v>1533</v>
      </c>
      <c r="N725" s="188" t="s">
        <v>1491</v>
      </c>
      <c r="O725">
        <v>744</v>
      </c>
      <c r="P725">
        <f>_xlfn.XLOOKUP(A725,'[1]Classic Net to delete'!D:D,'[1]Classic Net to delete'!AA:AA,0)</f>
        <v>853</v>
      </c>
    </row>
    <row r="726" spans="1:16" x14ac:dyDescent="0.25">
      <c r="A726" t="s">
        <v>1534</v>
      </c>
      <c r="B726" t="s">
        <v>1535</v>
      </c>
      <c r="C726">
        <v>23.06</v>
      </c>
      <c r="D726" t="s">
        <v>1472</v>
      </c>
      <c r="E726" t="str">
        <f>CONCATENATE(J726,". ",N726)</f>
        <v>02. Stands, Racks and Workbenches</v>
      </c>
      <c r="F726">
        <v>75</v>
      </c>
      <c r="G726" t="b">
        <v>1</v>
      </c>
      <c r="H726">
        <v>854</v>
      </c>
      <c r="J726" s="193" t="s">
        <v>189</v>
      </c>
      <c r="K726" s="188">
        <f>IFERROR(_xlfn.XLOOKUP(A726,[1]Fleet!A:A,[1]Fleet!E:E,""),"")</f>
        <v>1</v>
      </c>
      <c r="L726" s="188">
        <v>21.55</v>
      </c>
      <c r="M726" s="188" t="s">
        <v>1536</v>
      </c>
      <c r="N726" s="188" t="s">
        <v>1491</v>
      </c>
      <c r="O726">
        <v>745</v>
      </c>
      <c r="P726">
        <f>_xlfn.XLOOKUP(A726,'[1]Classic Net to delete'!D:D,'[1]Classic Net to delete'!AA:AA,0)</f>
        <v>854</v>
      </c>
    </row>
    <row r="727" spans="1:16" x14ac:dyDescent="0.25">
      <c r="A727" t="s">
        <v>1488</v>
      </c>
      <c r="B727" t="s">
        <v>1489</v>
      </c>
      <c r="C727">
        <v>56.76</v>
      </c>
      <c r="D727" t="s">
        <v>1472</v>
      </c>
      <c r="E727" t="str">
        <f>CONCATENATE(J727,". ",N727)</f>
        <v>02. Stands, Racks and Workbenches</v>
      </c>
      <c r="F727">
        <v>75</v>
      </c>
      <c r="G727" t="b">
        <v>1</v>
      </c>
      <c r="H727">
        <v>855</v>
      </c>
      <c r="J727" s="193" t="s">
        <v>189</v>
      </c>
      <c r="K727" s="188">
        <f>IFERROR(_xlfn.XLOOKUP(A727,[1]Fleet!A:A,[1]Fleet!E:E,""),"")</f>
        <v>4</v>
      </c>
      <c r="L727" s="188">
        <v>53.050000000000004</v>
      </c>
      <c r="M727" s="188" t="s">
        <v>1490</v>
      </c>
      <c r="N727" s="188" t="s">
        <v>1491</v>
      </c>
      <c r="O727">
        <v>734</v>
      </c>
      <c r="P727">
        <f>_xlfn.XLOOKUP(A727,'[1]Classic Net to delete'!D:D,'[1]Classic Net to delete'!AA:AA,0)</f>
        <v>855</v>
      </c>
    </row>
    <row r="728" spans="1:16" x14ac:dyDescent="0.25">
      <c r="A728" t="s">
        <v>1510</v>
      </c>
      <c r="B728" t="s">
        <v>1511</v>
      </c>
      <c r="C728">
        <v>49.59</v>
      </c>
      <c r="D728" t="s">
        <v>1472</v>
      </c>
      <c r="E728" t="str">
        <f>CONCATENATE(J728,". ",N728)</f>
        <v>03. Bending, Fitting &amp; Cutting</v>
      </c>
      <c r="F728">
        <v>75</v>
      </c>
      <c r="G728" t="b">
        <v>1</v>
      </c>
      <c r="H728">
        <v>859</v>
      </c>
      <c r="J728" s="193" t="s">
        <v>188</v>
      </c>
      <c r="K728" s="188">
        <f>IFERROR(_xlfn.XLOOKUP(A728,[1]Fleet!A:A,[1]Fleet!E:E,""),"")</f>
        <v>1</v>
      </c>
      <c r="L728" s="188">
        <v>46.35</v>
      </c>
      <c r="M728" s="188" t="s">
        <v>1512</v>
      </c>
      <c r="N728" s="188" t="s">
        <v>1509</v>
      </c>
      <c r="O728">
        <v>741</v>
      </c>
      <c r="P728">
        <f>_xlfn.XLOOKUP(A728,'[1]Classic Net to delete'!D:D,'[1]Classic Net to delete'!AA:AA,0)</f>
        <v>859</v>
      </c>
    </row>
    <row r="729" spans="1:16" x14ac:dyDescent="0.25">
      <c r="A729" t="s">
        <v>1522</v>
      </c>
      <c r="B729" t="s">
        <v>1523</v>
      </c>
      <c r="C729">
        <v>113.58</v>
      </c>
      <c r="D729" t="s">
        <v>1472</v>
      </c>
      <c r="E729" t="str">
        <f>CONCATENATE(J729,". ",N729)</f>
        <v>03. Bending, Fitting &amp; Cutting</v>
      </c>
      <c r="F729">
        <v>75</v>
      </c>
      <c r="G729" t="b">
        <v>1</v>
      </c>
      <c r="H729">
        <v>862</v>
      </c>
      <c r="J729" s="193" t="s">
        <v>188</v>
      </c>
      <c r="K729" s="188">
        <f>IFERROR(_xlfn.XLOOKUP(A729,[1]Fleet!A:A,[1]Fleet!E:E,""),"")</f>
        <v>2</v>
      </c>
      <c r="L729" s="188">
        <v>106.15</v>
      </c>
      <c r="M729" s="188" t="s">
        <v>1523</v>
      </c>
      <c r="N729" s="188" t="s">
        <v>1509</v>
      </c>
      <c r="O729">
        <v>748</v>
      </c>
      <c r="P729">
        <f>_xlfn.XLOOKUP(A729,'[1]Classic Net to delete'!D:D,'[1]Classic Net to delete'!AA:AA,0)</f>
        <v>862</v>
      </c>
    </row>
    <row r="730" spans="1:16" x14ac:dyDescent="0.25">
      <c r="A730" t="s">
        <v>1524</v>
      </c>
      <c r="B730" t="s">
        <v>1525</v>
      </c>
      <c r="C730">
        <v>52.75</v>
      </c>
      <c r="D730" t="s">
        <v>1472</v>
      </c>
      <c r="E730" t="str">
        <f>CONCATENATE(J730,". ",N730)</f>
        <v>03. Bending, Fitting &amp; Cutting</v>
      </c>
      <c r="F730">
        <v>75</v>
      </c>
      <c r="G730" t="b">
        <v>1</v>
      </c>
      <c r="H730">
        <v>863</v>
      </c>
      <c r="J730" s="193" t="s">
        <v>188</v>
      </c>
      <c r="K730" s="188">
        <f>IFERROR(_xlfn.XLOOKUP(A730,[1]Fleet!A:A,[1]Fleet!E:E,""),"")</f>
        <v>1</v>
      </c>
      <c r="L730" s="188">
        <v>49.300000000000004</v>
      </c>
      <c r="M730" s="188" t="s">
        <v>1526</v>
      </c>
      <c r="N730" s="188" t="s">
        <v>1509</v>
      </c>
      <c r="O730">
        <v>749</v>
      </c>
      <c r="P730">
        <f>_xlfn.XLOOKUP(A730,'[1]Classic Net to delete'!D:D,'[1]Classic Net to delete'!AA:AA,0)</f>
        <v>863</v>
      </c>
    </row>
    <row r="731" spans="1:16" x14ac:dyDescent="0.25">
      <c r="A731" t="s">
        <v>1507</v>
      </c>
      <c r="B731" t="s">
        <v>1508</v>
      </c>
      <c r="C731">
        <v>47.03</v>
      </c>
      <c r="D731" t="s">
        <v>1472</v>
      </c>
      <c r="E731" t="str">
        <f>CONCATENATE(J731,". ",N731)</f>
        <v>03. Bending, Fitting &amp; Cutting</v>
      </c>
      <c r="F731">
        <v>75</v>
      </c>
      <c r="G731" t="b">
        <v>1</v>
      </c>
      <c r="H731">
        <v>866</v>
      </c>
      <c r="J731" s="193" t="s">
        <v>188</v>
      </c>
      <c r="K731" s="188">
        <f>IFERROR(_xlfn.XLOOKUP(A731,[1]Fleet!A:A,[1]Fleet!E:E,""),"")</f>
        <v>1</v>
      </c>
      <c r="L731" s="188">
        <v>43.95</v>
      </c>
      <c r="M731" s="188" t="s">
        <v>1508</v>
      </c>
      <c r="N731" s="188" t="s">
        <v>1509</v>
      </c>
      <c r="O731">
        <v>740</v>
      </c>
      <c r="P731">
        <f>_xlfn.XLOOKUP(A731,'[1]Classic Net to delete'!D:D,'[1]Classic Net to delete'!AA:AA,0)</f>
        <v>866</v>
      </c>
    </row>
    <row r="732" spans="1:16" x14ac:dyDescent="0.25">
      <c r="A732" t="s">
        <v>1516</v>
      </c>
      <c r="B732" t="s">
        <v>1517</v>
      </c>
      <c r="C732">
        <v>0</v>
      </c>
      <c r="D732" t="s">
        <v>1472</v>
      </c>
      <c r="E732" t="str">
        <f>CONCATENATE(J732,". ",N732)</f>
        <v>03. Bending, Fitting &amp; Cutting</v>
      </c>
      <c r="F732">
        <v>75</v>
      </c>
      <c r="G732" t="b">
        <v>0</v>
      </c>
      <c r="H732">
        <v>867</v>
      </c>
      <c r="J732" s="193" t="s">
        <v>188</v>
      </c>
      <c r="K732" s="188">
        <f>IFERROR(_xlfn.XLOOKUP(A732,[1]Fleet!A:A,[1]Fleet!E:E,""),"")</f>
        <v>0</v>
      </c>
      <c r="L732" s="188">
        <v>57.2</v>
      </c>
      <c r="M732" s="188" t="s">
        <v>1517</v>
      </c>
      <c r="N732" s="188" t="s">
        <v>1509</v>
      </c>
      <c r="O732">
        <v>743</v>
      </c>
      <c r="P732">
        <f>_xlfn.XLOOKUP(A732,'[1]Classic Net to delete'!D:D,'[1]Classic Net to delete'!AA:AA,0)</f>
        <v>867</v>
      </c>
    </row>
    <row r="733" spans="1:16" x14ac:dyDescent="0.25">
      <c r="A733" t="s">
        <v>1513</v>
      </c>
      <c r="B733" t="s">
        <v>1514</v>
      </c>
      <c r="C733">
        <v>49.59</v>
      </c>
      <c r="D733" t="s">
        <v>1472</v>
      </c>
      <c r="E733" t="str">
        <f>CONCATENATE(J733,". ",N733)</f>
        <v>03. Bending, Fitting, Cutting &amp; Wrenches</v>
      </c>
      <c r="F733">
        <v>75</v>
      </c>
      <c r="G733" t="b">
        <v>1</v>
      </c>
      <c r="H733">
        <v>858</v>
      </c>
      <c r="J733" s="193" t="s">
        <v>188</v>
      </c>
      <c r="K733" s="188">
        <f>IFERROR(_xlfn.XLOOKUP(A733,[1]Fleet!A:A,[1]Fleet!E:E,""),"")</f>
        <v>14</v>
      </c>
      <c r="L733" s="188">
        <v>46.35</v>
      </c>
      <c r="M733" s="188" t="s">
        <v>1515</v>
      </c>
      <c r="N733" s="188" t="s">
        <v>1483</v>
      </c>
      <c r="O733">
        <v>742</v>
      </c>
      <c r="P733">
        <f>_xlfn.XLOOKUP(A733,'[1]Classic Net to delete'!D:D,'[1]Classic Net to delete'!AA:AA,0)</f>
        <v>858</v>
      </c>
    </row>
    <row r="734" spans="1:16" x14ac:dyDescent="0.25">
      <c r="A734" t="s">
        <v>2500</v>
      </c>
      <c r="B734" t="s">
        <v>2501</v>
      </c>
      <c r="C734">
        <v>23.97</v>
      </c>
      <c r="D734" t="s">
        <v>1472</v>
      </c>
      <c r="E734" t="str">
        <f>CONCATENATE(J734,". ",N734)</f>
        <v>03. Bending, Fitting, Cutting &amp; Wrenches</v>
      </c>
      <c r="F734">
        <v>75</v>
      </c>
      <c r="G734" t="b">
        <v>1</v>
      </c>
      <c r="H734">
        <v>868</v>
      </c>
      <c r="J734" s="193" t="s">
        <v>188</v>
      </c>
      <c r="K734" s="188" t="str">
        <f>IFERROR(_xlfn.XLOOKUP(A734,[1]Fleet!A:A,[1]Fleet!E:E,""),"")</f>
        <v/>
      </c>
      <c r="L734" s="188">
        <v>22.400000000000002</v>
      </c>
      <c r="M734" s="188" t="s">
        <v>2501</v>
      </c>
      <c r="N734" s="188" t="s">
        <v>1483</v>
      </c>
      <c r="O734">
        <v>729</v>
      </c>
      <c r="P734">
        <f>_xlfn.XLOOKUP(A734,'[1]Classic Net to delete'!D:D,'[1]Classic Net to delete'!AA:AA,0)</f>
        <v>868</v>
      </c>
    </row>
    <row r="735" spans="1:16" x14ac:dyDescent="0.25">
      <c r="A735" t="s">
        <v>2502</v>
      </c>
      <c r="B735" t="s">
        <v>2503</v>
      </c>
      <c r="C735">
        <v>29.05</v>
      </c>
      <c r="D735" t="s">
        <v>1472</v>
      </c>
      <c r="E735" t="str">
        <f>CONCATENATE(J735,". ",N735)</f>
        <v>03. Bending, Fitting, Cutting &amp; Wrenches</v>
      </c>
      <c r="F735">
        <v>75</v>
      </c>
      <c r="G735" t="b">
        <v>1</v>
      </c>
      <c r="H735">
        <v>869</v>
      </c>
      <c r="J735" s="193" t="s">
        <v>188</v>
      </c>
      <c r="K735" s="188" t="str">
        <f>IFERROR(_xlfn.XLOOKUP(A735,[1]Fleet!A:A,[1]Fleet!E:E,""),"")</f>
        <v/>
      </c>
      <c r="L735" s="188">
        <v>27.150000000000002</v>
      </c>
      <c r="M735" s="188" t="s">
        <v>2503</v>
      </c>
      <c r="N735" s="188" t="s">
        <v>1483</v>
      </c>
      <c r="O735">
        <v>728</v>
      </c>
      <c r="P735">
        <f>_xlfn.XLOOKUP(A735,'[1]Classic Net to delete'!D:D,'[1]Classic Net to delete'!AA:AA,0)</f>
        <v>869</v>
      </c>
    </row>
    <row r="736" spans="1:16" x14ac:dyDescent="0.25">
      <c r="A736" t="s">
        <v>2504</v>
      </c>
      <c r="B736" t="s">
        <v>2505</v>
      </c>
      <c r="C736">
        <v>38.200000000000003</v>
      </c>
      <c r="D736" t="s">
        <v>1472</v>
      </c>
      <c r="E736" t="str">
        <f>CONCATENATE(J736,". ",N736)</f>
        <v>03. Bending, Fitting, Cutting &amp; Wrenches</v>
      </c>
      <c r="F736">
        <v>75</v>
      </c>
      <c r="G736" t="b">
        <v>1</v>
      </c>
      <c r="H736">
        <v>870</v>
      </c>
      <c r="J736" s="193" t="s">
        <v>188</v>
      </c>
      <c r="K736" s="188" t="str">
        <f>IFERROR(_xlfn.XLOOKUP(A736,[1]Fleet!A:A,[1]Fleet!E:E,""),"")</f>
        <v/>
      </c>
      <c r="L736" s="188">
        <v>35.700000000000003</v>
      </c>
      <c r="M736" s="188" t="s">
        <v>2505</v>
      </c>
      <c r="N736" s="188" t="s">
        <v>1483</v>
      </c>
      <c r="O736">
        <v>727</v>
      </c>
      <c r="P736">
        <f>_xlfn.XLOOKUP(A736,'[1]Classic Net to delete'!D:D,'[1]Classic Net to delete'!AA:AA,0)</f>
        <v>870</v>
      </c>
    </row>
    <row r="737" spans="1:16" x14ac:dyDescent="0.25">
      <c r="A737" t="s">
        <v>1481</v>
      </c>
      <c r="B737" t="s">
        <v>1482</v>
      </c>
      <c r="C737">
        <v>19.900000000000002</v>
      </c>
      <c r="D737" t="s">
        <v>1472</v>
      </c>
      <c r="E737" t="str">
        <f>CONCATENATE(J737,". ",N737)</f>
        <v>03. Bending, Fitting, Cutting &amp; Wrenches</v>
      </c>
      <c r="F737">
        <v>75</v>
      </c>
      <c r="G737" t="b">
        <v>1</v>
      </c>
      <c r="H737">
        <v>873</v>
      </c>
      <c r="J737" s="193" t="s">
        <v>188</v>
      </c>
      <c r="K737" s="188">
        <f>IFERROR(_xlfn.XLOOKUP(A737,[1]Fleet!A:A,[1]Fleet!E:E,""),"")</f>
        <v>2</v>
      </c>
      <c r="L737" s="188">
        <v>18.600000000000001</v>
      </c>
      <c r="M737" s="188" t="s">
        <v>1482</v>
      </c>
      <c r="N737" s="188" t="s">
        <v>1483</v>
      </c>
      <c r="O737">
        <v>732</v>
      </c>
      <c r="P737">
        <f>_xlfn.XLOOKUP(A737,'[1]Classic Net to delete'!D:D,'[1]Classic Net to delete'!AA:AA,0)</f>
        <v>873</v>
      </c>
    </row>
    <row r="738" spans="1:16" x14ac:dyDescent="0.25">
      <c r="A738" t="s">
        <v>1486</v>
      </c>
      <c r="B738" t="s">
        <v>1487</v>
      </c>
      <c r="C738">
        <v>25.57</v>
      </c>
      <c r="D738" t="s">
        <v>1472</v>
      </c>
      <c r="E738" t="str">
        <f>CONCATENATE(J738,". ",N738)</f>
        <v>03. Bending, Fitting, Cutting &amp; Wrenches</v>
      </c>
      <c r="F738">
        <v>75</v>
      </c>
      <c r="G738" t="b">
        <v>1</v>
      </c>
      <c r="H738">
        <v>874</v>
      </c>
      <c r="J738" s="193" t="s">
        <v>188</v>
      </c>
      <c r="K738" s="188">
        <f>IFERROR(_xlfn.XLOOKUP(A738,[1]Fleet!A:A,[1]Fleet!E:E,""),"")</f>
        <v>2</v>
      </c>
      <c r="L738" s="188">
        <v>23.900000000000002</v>
      </c>
      <c r="M738" s="188" t="s">
        <v>1487</v>
      </c>
      <c r="N738" s="188" t="s">
        <v>1483</v>
      </c>
      <c r="O738">
        <v>733</v>
      </c>
      <c r="P738">
        <f>_xlfn.XLOOKUP(A738,'[1]Classic Net to delete'!D:D,'[1]Classic Net to delete'!AA:AA,0)</f>
        <v>874</v>
      </c>
    </row>
    <row r="739" spans="1:16" x14ac:dyDescent="0.25">
      <c r="A739" t="s">
        <v>1484</v>
      </c>
      <c r="B739" t="s">
        <v>1485</v>
      </c>
      <c r="C739">
        <v>27.12</v>
      </c>
      <c r="D739" t="s">
        <v>1472</v>
      </c>
      <c r="E739" t="str">
        <f>CONCATENATE(J739,". ",N739)</f>
        <v>03. Bending, Fitting, Cutting &amp; Wrenches</v>
      </c>
      <c r="F739">
        <v>75</v>
      </c>
      <c r="G739" t="b">
        <v>1</v>
      </c>
      <c r="H739">
        <v>875</v>
      </c>
      <c r="J739" s="193" t="s">
        <v>188</v>
      </c>
      <c r="K739" s="188">
        <f>IFERROR(_xlfn.XLOOKUP(A739,[1]Fleet!A:A,[1]Fleet!E:E,""),"")</f>
        <v>1</v>
      </c>
      <c r="L739" s="188">
        <v>25.35</v>
      </c>
      <c r="M739" s="188" t="s">
        <v>1485</v>
      </c>
      <c r="N739" s="188" t="s">
        <v>1483</v>
      </c>
      <c r="O739">
        <v>747</v>
      </c>
      <c r="P739">
        <f>_xlfn.XLOOKUP(A739,'[1]Classic Net to delete'!D:D,'[1]Classic Net to delete'!AA:AA,0)</f>
        <v>875</v>
      </c>
    </row>
    <row r="740" spans="1:16" x14ac:dyDescent="0.25">
      <c r="A740" t="s">
        <v>1478</v>
      </c>
      <c r="B740" t="s">
        <v>1479</v>
      </c>
      <c r="C740">
        <v>161.84</v>
      </c>
      <c r="D740" t="s">
        <v>1472</v>
      </c>
      <c r="E740" t="str">
        <f>CONCATENATE(J740,". ",N740)</f>
        <v>04. Freezing &amp; Testing</v>
      </c>
      <c r="F740">
        <v>75</v>
      </c>
      <c r="G740" t="b">
        <v>1</v>
      </c>
      <c r="H740">
        <v>878</v>
      </c>
      <c r="J740" s="193" t="s">
        <v>269</v>
      </c>
      <c r="K740" s="188">
        <f>IFERROR(_xlfn.XLOOKUP(A740,[1]Fleet!A:A,[1]Fleet!E:E,""),"")</f>
        <v>2</v>
      </c>
      <c r="L740" s="188">
        <v>151.25</v>
      </c>
      <c r="M740" s="188" t="s">
        <v>1480</v>
      </c>
      <c r="N740" s="188" t="s">
        <v>1477</v>
      </c>
      <c r="O740">
        <v>731</v>
      </c>
      <c r="P740">
        <f>_xlfn.XLOOKUP(A740,'[1]Classic Net to delete'!D:D,'[1]Classic Net to delete'!AA:AA,0)</f>
        <v>878</v>
      </c>
    </row>
    <row r="741" spans="1:16" x14ac:dyDescent="0.25">
      <c r="A741" t="s">
        <v>1474</v>
      </c>
      <c r="B741" t="s">
        <v>1475</v>
      </c>
      <c r="C741">
        <v>48.26</v>
      </c>
      <c r="D741" t="s">
        <v>1472</v>
      </c>
      <c r="E741" t="str">
        <f>CONCATENATE(J741,". ",N741)</f>
        <v>04. Freezing &amp; Testing</v>
      </c>
      <c r="F741">
        <v>75</v>
      </c>
      <c r="G741" t="b">
        <v>1</v>
      </c>
      <c r="H741">
        <v>879</v>
      </c>
      <c r="J741" s="193" t="s">
        <v>269</v>
      </c>
      <c r="K741" s="188">
        <f>IFERROR(_xlfn.XLOOKUP(A741,[1]Fleet!A:A,[1]Fleet!E:E,""),"")</f>
        <v>1</v>
      </c>
      <c r="L741" s="188">
        <v>45.1</v>
      </c>
      <c r="M741" s="188" t="s">
        <v>1476</v>
      </c>
      <c r="N741" s="188" t="s">
        <v>1477</v>
      </c>
      <c r="O741">
        <v>730</v>
      </c>
      <c r="P741">
        <f>_xlfn.XLOOKUP(A741,'[1]Classic Net to delete'!D:D,'[1]Classic Net to delete'!AA:AA,0)</f>
        <v>879</v>
      </c>
    </row>
    <row r="742" spans="1:16" x14ac:dyDescent="0.25">
      <c r="A742" t="s">
        <v>1470</v>
      </c>
      <c r="B742" t="s">
        <v>1471</v>
      </c>
      <c r="C742">
        <v>55.21</v>
      </c>
      <c r="D742" t="s">
        <v>1472</v>
      </c>
      <c r="E742" t="str">
        <f>CONCATENATE(J742,". ",N742)</f>
        <v>05. Drain Clearance &amp; Testing</v>
      </c>
      <c r="F742">
        <v>75</v>
      </c>
      <c r="G742" t="b">
        <v>1</v>
      </c>
      <c r="H742">
        <v>883</v>
      </c>
      <c r="J742" s="193" t="s">
        <v>263</v>
      </c>
      <c r="K742" s="188">
        <f>IFERROR(_xlfn.XLOOKUP(A742,[1]Fleet!A:A,[1]Fleet!E:E,""),"")</f>
        <v>2</v>
      </c>
      <c r="L742" s="188">
        <v>51.6</v>
      </c>
      <c r="M742" s="188" t="s">
        <v>1471</v>
      </c>
      <c r="N742" s="188" t="s">
        <v>1473</v>
      </c>
      <c r="O742">
        <v>726</v>
      </c>
      <c r="P742">
        <f>_xlfn.XLOOKUP(A742,'[1]Classic Net to delete'!D:D,'[1]Classic Net to delete'!AA:AA,0)</f>
        <v>883</v>
      </c>
    </row>
    <row r="743" spans="1:16" x14ac:dyDescent="0.25">
      <c r="A743" t="s">
        <v>2439</v>
      </c>
      <c r="B743" t="s">
        <v>2440</v>
      </c>
      <c r="C743">
        <v>15.46</v>
      </c>
      <c r="D743" t="s">
        <v>1472</v>
      </c>
      <c r="E743" t="str">
        <f>CONCATENATE(J743,". ",N743)</f>
        <v>05. Drain Clearance &amp; Testing</v>
      </c>
      <c r="F743">
        <v>75</v>
      </c>
      <c r="G743" t="b">
        <v>1</v>
      </c>
      <c r="H743">
        <v>884</v>
      </c>
      <c r="J743" s="193" t="s">
        <v>263</v>
      </c>
      <c r="K743" s="188" t="str">
        <f>IFERROR(_xlfn.XLOOKUP(A743,[1]Fleet!A:A,[1]Fleet!E:E,""),"")</f>
        <v/>
      </c>
      <c r="L743" s="188">
        <v>14.450000000000001</v>
      </c>
      <c r="M743" s="188" t="s">
        <v>2441</v>
      </c>
      <c r="N743" s="188" t="s">
        <v>1473</v>
      </c>
      <c r="O743">
        <v>721</v>
      </c>
      <c r="P743">
        <f>_xlfn.XLOOKUP(A743,'[1]Classic Net to delete'!D:D,'[1]Classic Net to delete'!AA:AA,0)</f>
        <v>884</v>
      </c>
    </row>
    <row r="744" spans="1:16" x14ac:dyDescent="0.25">
      <c r="A744" t="s">
        <v>2450</v>
      </c>
      <c r="B744" t="s">
        <v>2451</v>
      </c>
      <c r="C744">
        <v>14.870000000000001</v>
      </c>
      <c r="D744" t="s">
        <v>1472</v>
      </c>
      <c r="E744" t="str">
        <f>CONCATENATE(J744,". ",N744)</f>
        <v>05. Drain Clearance &amp; Testing</v>
      </c>
      <c r="F744">
        <v>75</v>
      </c>
      <c r="G744" t="b">
        <v>1</v>
      </c>
      <c r="H744">
        <v>885</v>
      </c>
      <c r="J744" s="193" t="s">
        <v>263</v>
      </c>
      <c r="K744" s="188" t="str">
        <f>IFERROR(_xlfn.XLOOKUP(A744,[1]Fleet!A:A,[1]Fleet!E:E,""),"")</f>
        <v/>
      </c>
      <c r="L744" s="188">
        <v>13.9</v>
      </c>
      <c r="M744" s="188" t="s">
        <v>2451</v>
      </c>
      <c r="N744" s="188" t="s">
        <v>1473</v>
      </c>
      <c r="O744">
        <v>718</v>
      </c>
      <c r="P744">
        <f>_xlfn.XLOOKUP(A744,'[1]Classic Net to delete'!D:D,'[1]Classic Net to delete'!AA:AA,0)</f>
        <v>885</v>
      </c>
    </row>
    <row r="745" spans="1:16" x14ac:dyDescent="0.25">
      <c r="A745" t="s">
        <v>2419</v>
      </c>
      <c r="B745" t="s">
        <v>2420</v>
      </c>
      <c r="C745">
        <v>13.540000000000001</v>
      </c>
      <c r="D745" t="s">
        <v>1472</v>
      </c>
      <c r="E745" t="str">
        <f>CONCATENATE(J745,". ",N745)</f>
        <v>05. Drain Clearance &amp; Testing</v>
      </c>
      <c r="F745">
        <v>75</v>
      </c>
      <c r="G745" t="b">
        <v>1</v>
      </c>
      <c r="H745">
        <v>886</v>
      </c>
      <c r="J745" s="193" t="s">
        <v>263</v>
      </c>
      <c r="K745" s="188" t="str">
        <f>IFERROR(_xlfn.XLOOKUP(A745,[1]Fleet!A:A,[1]Fleet!E:E,""),"")</f>
        <v/>
      </c>
      <c r="L745" s="188">
        <v>12.65</v>
      </c>
      <c r="M745" s="188" t="s">
        <v>2421</v>
      </c>
      <c r="N745" s="188" t="s">
        <v>1473</v>
      </c>
      <c r="O745">
        <v>724</v>
      </c>
      <c r="P745">
        <f>_xlfn.XLOOKUP(A745,'[1]Classic Net to delete'!D:D,'[1]Classic Net to delete'!AA:AA,0)</f>
        <v>886</v>
      </c>
    </row>
    <row r="746" spans="1:16" x14ac:dyDescent="0.25">
      <c r="A746" t="s">
        <v>2417</v>
      </c>
      <c r="B746" t="s">
        <v>2418</v>
      </c>
      <c r="C746">
        <v>13.540000000000001</v>
      </c>
      <c r="D746" t="s">
        <v>1472</v>
      </c>
      <c r="E746" t="str">
        <f>CONCATENATE(J746,". ",N746)</f>
        <v>05. Drain Clearance &amp; Testing</v>
      </c>
      <c r="F746">
        <v>75</v>
      </c>
      <c r="G746" t="b">
        <v>1</v>
      </c>
      <c r="H746">
        <v>887</v>
      </c>
      <c r="J746" s="193" t="s">
        <v>263</v>
      </c>
      <c r="K746" s="188" t="str">
        <f>IFERROR(_xlfn.XLOOKUP(A746,[1]Fleet!A:A,[1]Fleet!E:E,""),"")</f>
        <v/>
      </c>
      <c r="L746" s="188">
        <v>12.65</v>
      </c>
      <c r="M746" s="188" t="s">
        <v>2418</v>
      </c>
      <c r="N746" s="188" t="s">
        <v>1473</v>
      </c>
      <c r="O746">
        <v>725</v>
      </c>
      <c r="P746">
        <f>_xlfn.XLOOKUP(A746,'[1]Classic Net to delete'!D:D,'[1]Classic Net to delete'!AA:AA,0)</f>
        <v>887</v>
      </c>
    </row>
    <row r="747" spans="1:16" x14ac:dyDescent="0.25">
      <c r="A747" t="s">
        <v>2426</v>
      </c>
      <c r="B747" t="s">
        <v>2427</v>
      </c>
      <c r="C747">
        <v>6.96</v>
      </c>
      <c r="D747" t="s">
        <v>1472</v>
      </c>
      <c r="E747" t="str">
        <f>CONCATENATE(J747,". ",N747)</f>
        <v>05. Drain Clearance &amp; Testing</v>
      </c>
      <c r="F747">
        <v>75</v>
      </c>
      <c r="G747" t="b">
        <v>1</v>
      </c>
      <c r="H747">
        <v>888</v>
      </c>
      <c r="J747" s="193" t="s">
        <v>263</v>
      </c>
      <c r="K747" s="188" t="str">
        <f>IFERROR(_xlfn.XLOOKUP(A747,[1]Fleet!A:A,[1]Fleet!E:E,""),"")</f>
        <v/>
      </c>
      <c r="L747" s="188">
        <v>6.5</v>
      </c>
      <c r="M747" s="188" t="s">
        <v>2427</v>
      </c>
      <c r="N747" s="188" t="s">
        <v>1473</v>
      </c>
      <c r="O747">
        <v>723</v>
      </c>
      <c r="P747">
        <f>_xlfn.XLOOKUP(A747,'[1]Classic Net to delete'!D:D,'[1]Classic Net to delete'!AA:AA,0)</f>
        <v>888</v>
      </c>
    </row>
    <row r="748" spans="1:16" x14ac:dyDescent="0.25">
      <c r="A748" t="s">
        <v>2430</v>
      </c>
      <c r="B748" t="s">
        <v>2431</v>
      </c>
      <c r="C748">
        <v>4.4400000000000004</v>
      </c>
      <c r="D748" t="s">
        <v>1472</v>
      </c>
      <c r="E748" t="str">
        <f>CONCATENATE(J748,". ",N748)</f>
        <v>05. Drain Clearance &amp; Testing</v>
      </c>
      <c r="F748">
        <v>75</v>
      </c>
      <c r="G748" t="b">
        <v>1</v>
      </c>
      <c r="H748">
        <v>889</v>
      </c>
      <c r="J748" s="193" t="s">
        <v>263</v>
      </c>
      <c r="K748" s="188" t="str">
        <f>IFERROR(_xlfn.XLOOKUP(A748,[1]Fleet!A:A,[1]Fleet!E:E,""),"")</f>
        <v/>
      </c>
      <c r="L748" s="188">
        <v>4.1500000000000004</v>
      </c>
      <c r="M748" s="188" t="s">
        <v>2432</v>
      </c>
      <c r="N748" s="188" t="s">
        <v>1473</v>
      </c>
      <c r="O748">
        <v>722</v>
      </c>
      <c r="P748">
        <f>_xlfn.XLOOKUP(A748,'[1]Classic Net to delete'!D:D,'[1]Classic Net to delete'!AA:AA,0)</f>
        <v>889</v>
      </c>
    </row>
    <row r="749" spans="1:16" x14ac:dyDescent="0.25">
      <c r="A749" t="s">
        <v>2442</v>
      </c>
      <c r="B749" t="s">
        <v>2443</v>
      </c>
      <c r="C749">
        <v>14.870000000000001</v>
      </c>
      <c r="D749" t="s">
        <v>1472</v>
      </c>
      <c r="E749" t="str">
        <f>CONCATENATE(J749,". ",N749)</f>
        <v>05. Drain Clearance &amp; Testing</v>
      </c>
      <c r="F749">
        <v>75</v>
      </c>
      <c r="G749" t="b">
        <v>1</v>
      </c>
      <c r="H749">
        <v>890</v>
      </c>
      <c r="J749" s="193" t="s">
        <v>263</v>
      </c>
      <c r="K749" s="188" t="str">
        <f>IFERROR(_xlfn.XLOOKUP(A749,[1]Fleet!A:A,[1]Fleet!E:E,""),"")</f>
        <v/>
      </c>
      <c r="L749" s="188">
        <v>13.9</v>
      </c>
      <c r="M749" s="188" t="s">
        <v>2444</v>
      </c>
      <c r="N749" s="188" t="s">
        <v>1473</v>
      </c>
      <c r="O749">
        <v>720</v>
      </c>
      <c r="P749">
        <f>_xlfn.XLOOKUP(A749,'[1]Classic Net to delete'!D:D,'[1]Classic Net to delete'!AA:AA,0)</f>
        <v>890</v>
      </c>
    </row>
    <row r="750" spans="1:16" x14ac:dyDescent="0.25">
      <c r="A750" t="s">
        <v>2447</v>
      </c>
      <c r="B750" t="s">
        <v>2448</v>
      </c>
      <c r="C750">
        <v>19.900000000000002</v>
      </c>
      <c r="D750" t="s">
        <v>1472</v>
      </c>
      <c r="E750" t="str">
        <f>CONCATENATE(J750,". ",N750)</f>
        <v>05. Drain Clearance &amp; Testing</v>
      </c>
      <c r="F750">
        <v>75</v>
      </c>
      <c r="G750" t="b">
        <v>1</v>
      </c>
      <c r="H750">
        <v>891</v>
      </c>
      <c r="J750" s="193" t="s">
        <v>263</v>
      </c>
      <c r="K750" s="188" t="str">
        <f>IFERROR(_xlfn.XLOOKUP(A750,[1]Fleet!A:A,[1]Fleet!E:E,""),"")</f>
        <v/>
      </c>
      <c r="L750" s="188">
        <v>18.600000000000001</v>
      </c>
      <c r="M750" s="188" t="s">
        <v>2449</v>
      </c>
      <c r="N750" s="188" t="s">
        <v>1473</v>
      </c>
      <c r="O750">
        <v>719</v>
      </c>
      <c r="P750">
        <f>_xlfn.XLOOKUP(A750,'[1]Classic Net to delete'!D:D,'[1]Classic Net to delete'!AA:AA,0)</f>
        <v>891</v>
      </c>
    </row>
    <row r="751" spans="1:16" x14ac:dyDescent="0.25">
      <c r="A751" t="s">
        <v>1542</v>
      </c>
      <c r="B751" t="s">
        <v>1543</v>
      </c>
      <c r="C751">
        <v>0</v>
      </c>
      <c r="D751" t="s">
        <v>1472</v>
      </c>
      <c r="E751" t="str">
        <f>CONCATENATE(J751,". ",N751)</f>
        <v>06. Blow Torches</v>
      </c>
      <c r="F751">
        <v>75</v>
      </c>
      <c r="G751" t="b">
        <v>0</v>
      </c>
      <c r="H751">
        <v>543</v>
      </c>
      <c r="J751" s="193" t="s">
        <v>259</v>
      </c>
      <c r="K751" s="188">
        <f>IFERROR(_xlfn.XLOOKUP(A751,[1]Fleet!A:A,[1]Fleet!E:E,""),"")</f>
        <v>0</v>
      </c>
      <c r="L751" s="188">
        <v>18.600000000000001</v>
      </c>
      <c r="M751" s="188" t="s">
        <v>1543</v>
      </c>
      <c r="N751" s="188" t="s">
        <v>1539</v>
      </c>
      <c r="O751">
        <v>814</v>
      </c>
      <c r="P751">
        <f>_xlfn.XLOOKUP(A751,'[1]Classic Net to delete'!D:D,'[1]Classic Net to delete'!AA:AA,0)</f>
        <v>543</v>
      </c>
    </row>
    <row r="752" spans="1:16" x14ac:dyDescent="0.25">
      <c r="A752" t="s">
        <v>1537</v>
      </c>
      <c r="B752" t="s">
        <v>1538</v>
      </c>
      <c r="C752">
        <v>22.740000000000002</v>
      </c>
      <c r="D752" t="s">
        <v>1472</v>
      </c>
      <c r="E752" t="str">
        <f>CONCATENATE(J752,". ",N752)</f>
        <v>06. Blow Torches</v>
      </c>
      <c r="F752">
        <v>75</v>
      </c>
      <c r="G752" t="b">
        <v>1</v>
      </c>
      <c r="H752">
        <v>894</v>
      </c>
      <c r="J752" s="193" t="s">
        <v>259</v>
      </c>
      <c r="K752" s="188">
        <f>IFERROR(_xlfn.XLOOKUP(A752,[1]Fleet!A:A,[1]Fleet!E:E,""),"")</f>
        <v>13</v>
      </c>
      <c r="L752" s="188">
        <v>21.25</v>
      </c>
      <c r="M752" s="188" t="s">
        <v>1538</v>
      </c>
      <c r="N752" s="188" t="s">
        <v>1539</v>
      </c>
      <c r="O752">
        <v>815</v>
      </c>
      <c r="P752">
        <f>_xlfn.XLOOKUP(A752,'[1]Classic Net to delete'!D:D,'[1]Classic Net to delete'!AA:AA,0)</f>
        <v>894</v>
      </c>
    </row>
    <row r="753" spans="1:16" x14ac:dyDescent="0.25">
      <c r="A753" t="s">
        <v>1540</v>
      </c>
      <c r="B753" t="s">
        <v>1541</v>
      </c>
      <c r="C753">
        <v>36.97</v>
      </c>
      <c r="D753" t="s">
        <v>1472</v>
      </c>
      <c r="E753" t="str">
        <f>CONCATENATE(J753,". ",N753)</f>
        <v>06. Blow Torches</v>
      </c>
      <c r="F753">
        <v>75</v>
      </c>
      <c r="G753" t="b">
        <v>1</v>
      </c>
      <c r="H753">
        <v>895</v>
      </c>
      <c r="J753" s="193" t="s">
        <v>259</v>
      </c>
      <c r="K753" s="188">
        <f>IFERROR(_xlfn.XLOOKUP(A753,[1]Fleet!A:A,[1]Fleet!E:E,""),"")</f>
        <v>11</v>
      </c>
      <c r="L753" s="188">
        <v>34.550000000000004</v>
      </c>
      <c r="M753" s="188" t="s">
        <v>1541</v>
      </c>
      <c r="N753" s="188" t="s">
        <v>1539</v>
      </c>
      <c r="O753">
        <v>816</v>
      </c>
      <c r="P753">
        <f>_xlfn.XLOOKUP(A753,'[1]Classic Net to delete'!D:D,'[1]Classic Net to delete'!AA:AA,0)</f>
        <v>895</v>
      </c>
    </row>
    <row r="754" spans="1:16" x14ac:dyDescent="0.25">
      <c r="A754" t="s">
        <v>1235</v>
      </c>
      <c r="B754" t="s">
        <v>1236</v>
      </c>
      <c r="C754">
        <v>14.870000000000001</v>
      </c>
      <c r="D754" t="s">
        <v>1176</v>
      </c>
      <c r="E754" t="str">
        <f>CONCATENATE(J754,". ",N754)</f>
        <v>. Extensions and Distribution</v>
      </c>
      <c r="F754">
        <v>75</v>
      </c>
      <c r="G754" t="b">
        <v>0</v>
      </c>
      <c r="H754">
        <v>0</v>
      </c>
      <c r="K754" s="188">
        <f>IFERROR(_xlfn.XLOOKUP(A754,[1]Fleet!A:A,[1]Fleet!E:E,""),"")</f>
        <v>5</v>
      </c>
      <c r="L754" s="188" t="s">
        <v>76</v>
      </c>
      <c r="M754" s="188" t="s">
        <v>76</v>
      </c>
      <c r="N754" s="188" t="s">
        <v>1196</v>
      </c>
      <c r="O754">
        <v>760</v>
      </c>
      <c r="P754">
        <f>_xlfn.XLOOKUP(A754,'[1]Classic Net to delete'!D:D,'[1]Classic Net to delete'!AA:AA,0)</f>
        <v>0</v>
      </c>
    </row>
    <row r="755" spans="1:16" x14ac:dyDescent="0.25">
      <c r="A755" t="s">
        <v>1237</v>
      </c>
      <c r="B755" t="s">
        <v>1238</v>
      </c>
      <c r="C755">
        <v>14.870000000000001</v>
      </c>
      <c r="D755" t="s">
        <v>1176</v>
      </c>
      <c r="E755" t="str">
        <f>CONCATENATE(J755,". ",N755)</f>
        <v>. Extensions and Distribution</v>
      </c>
      <c r="F755">
        <v>75</v>
      </c>
      <c r="G755" t="b">
        <v>0</v>
      </c>
      <c r="H755">
        <v>0</v>
      </c>
      <c r="K755" s="188">
        <f>IFERROR(_xlfn.XLOOKUP(A755,[1]Fleet!A:A,[1]Fleet!E:E,""),"")</f>
        <v>1</v>
      </c>
      <c r="L755" s="188" t="s">
        <v>76</v>
      </c>
      <c r="M755" s="188" t="s">
        <v>76</v>
      </c>
      <c r="N755" s="188" t="s">
        <v>1196</v>
      </c>
      <c r="O755">
        <v>763</v>
      </c>
      <c r="P755">
        <f>_xlfn.XLOOKUP(A755,'[1]Classic Net to delete'!D:D,'[1]Classic Net to delete'!AA:AA,0)</f>
        <v>0</v>
      </c>
    </row>
    <row r="756" spans="1:16" x14ac:dyDescent="0.25">
      <c r="A756" t="s">
        <v>1174</v>
      </c>
      <c r="B756" t="s">
        <v>1175</v>
      </c>
      <c r="C756">
        <v>0</v>
      </c>
      <c r="D756" t="s">
        <v>1176</v>
      </c>
      <c r="E756" t="str">
        <f>CONCATENATE(J756,". ",N756)</f>
        <v>. Generators</v>
      </c>
      <c r="F756">
        <v>75</v>
      </c>
      <c r="G756" t="b">
        <v>0</v>
      </c>
      <c r="H756">
        <v>0</v>
      </c>
      <c r="K756" s="188" t="str">
        <f>IFERROR(_xlfn.XLOOKUP(A756,[1]Fleet!A:A,[1]Fleet!E:E,""),"")</f>
        <v/>
      </c>
      <c r="L756" s="188" t="s">
        <v>76</v>
      </c>
      <c r="M756" s="188" t="s">
        <v>76</v>
      </c>
      <c r="N756" s="188" t="s">
        <v>1177</v>
      </c>
      <c r="O756">
        <v>777</v>
      </c>
      <c r="P756">
        <f>_xlfn.XLOOKUP(A756,'[1]Classic Net to delete'!D:D,'[1]Classic Net to delete'!AA:AA,0)</f>
        <v>0</v>
      </c>
    </row>
    <row r="757" spans="1:16" x14ac:dyDescent="0.25">
      <c r="A757" t="s">
        <v>1180</v>
      </c>
      <c r="B757" t="s">
        <v>1181</v>
      </c>
      <c r="C757">
        <v>148.62</v>
      </c>
      <c r="D757" t="s">
        <v>1176</v>
      </c>
      <c r="E757" t="str">
        <f>CONCATENATE(J757,". ",N757)</f>
        <v>. Generators</v>
      </c>
      <c r="F757">
        <v>75</v>
      </c>
      <c r="G757" t="b">
        <v>0</v>
      </c>
      <c r="H757">
        <v>0</v>
      </c>
      <c r="K757" s="188">
        <f>IFERROR(_xlfn.XLOOKUP(A757,[1]Fleet!A:A,[1]Fleet!E:E,""),"")</f>
        <v>1</v>
      </c>
      <c r="L757" s="188" t="s">
        <v>76</v>
      </c>
      <c r="M757" s="188" t="s">
        <v>76</v>
      </c>
      <c r="N757" s="188" t="s">
        <v>1177</v>
      </c>
      <c r="O757">
        <v>769</v>
      </c>
      <c r="P757">
        <f>_xlfn.XLOOKUP(A757,'[1]Classic Net to delete'!D:D,'[1]Classic Net to delete'!AA:AA,0)</f>
        <v>0</v>
      </c>
    </row>
    <row r="758" spans="1:16" x14ac:dyDescent="0.25">
      <c r="A758" t="s">
        <v>1184</v>
      </c>
      <c r="B758" t="s">
        <v>1185</v>
      </c>
      <c r="C758">
        <v>101.65</v>
      </c>
      <c r="D758" t="s">
        <v>1176</v>
      </c>
      <c r="E758" t="str">
        <f>CONCATENATE(J758,". ",N758)</f>
        <v>. Generators</v>
      </c>
      <c r="F758">
        <v>75</v>
      </c>
      <c r="G758" t="b">
        <v>0</v>
      </c>
      <c r="H758">
        <v>0</v>
      </c>
      <c r="K758" s="188">
        <f>IFERROR(_xlfn.XLOOKUP(A758,[1]Fleet!A:A,[1]Fleet!E:E,""),"")</f>
        <v>10</v>
      </c>
      <c r="L758" s="188" t="s">
        <v>76</v>
      </c>
      <c r="M758" s="188" t="s">
        <v>76</v>
      </c>
      <c r="N758" s="188" t="s">
        <v>1177</v>
      </c>
      <c r="O758">
        <v>778</v>
      </c>
      <c r="P758">
        <f>_xlfn.XLOOKUP(A758,'[1]Classic Net to delete'!D:D,'[1]Classic Net to delete'!AA:AA,0)</f>
        <v>0</v>
      </c>
    </row>
    <row r="759" spans="1:16" x14ac:dyDescent="0.25">
      <c r="A759" t="s">
        <v>3035</v>
      </c>
      <c r="B759" t="s">
        <v>3036</v>
      </c>
      <c r="C759">
        <v>0</v>
      </c>
      <c r="D759" t="s">
        <v>1176</v>
      </c>
      <c r="E759" t="str">
        <f>CONCATENATE(J759,". ",N759)</f>
        <v>. TBC</v>
      </c>
      <c r="F759">
        <v>75</v>
      </c>
      <c r="G759" t="b">
        <v>0</v>
      </c>
      <c r="H759">
        <v>0</v>
      </c>
      <c r="K759" s="188">
        <f>IFERROR(_xlfn.XLOOKUP(A759,[1]Fleet!A:A,[1]Fleet!E:E,""),"")</f>
        <v>12</v>
      </c>
      <c r="L759" s="188" t="s">
        <v>76</v>
      </c>
      <c r="M759" s="188" t="s">
        <v>76</v>
      </c>
      <c r="N759" s="188" t="s">
        <v>1712</v>
      </c>
      <c r="O759">
        <v>779</v>
      </c>
      <c r="P759">
        <f>_xlfn.XLOOKUP(A759,'[1]Classic Net to delete'!D:D,'[1]Classic Net to delete'!AA:AA,0)</f>
        <v>0</v>
      </c>
    </row>
    <row r="760" spans="1:16" x14ac:dyDescent="0.25">
      <c r="A760" t="s">
        <v>3035</v>
      </c>
      <c r="B760" t="s">
        <v>3037</v>
      </c>
      <c r="C760">
        <v>0</v>
      </c>
      <c r="D760" t="s">
        <v>1176</v>
      </c>
      <c r="E760" t="str">
        <f>CONCATENATE(J760,". ",N760)</f>
        <v>. TBC</v>
      </c>
      <c r="F760">
        <v>75</v>
      </c>
      <c r="G760" t="b">
        <v>0</v>
      </c>
      <c r="H760">
        <v>0</v>
      </c>
      <c r="K760" s="188">
        <f>IFERROR(_xlfn.XLOOKUP(A760,[1]Fleet!A:A,[1]Fleet!E:E,""),"")</f>
        <v>12</v>
      </c>
      <c r="L760" s="188" t="s">
        <v>76</v>
      </c>
      <c r="M760" s="188" t="s">
        <v>76</v>
      </c>
      <c r="N760" s="188" t="s">
        <v>1712</v>
      </c>
      <c r="O760">
        <v>780</v>
      </c>
      <c r="P760">
        <f>_xlfn.XLOOKUP(A760,'[1]Classic Net to delete'!D:D,'[1]Classic Net to delete'!AA:AA,0)</f>
        <v>0</v>
      </c>
    </row>
    <row r="761" spans="1:16" x14ac:dyDescent="0.25">
      <c r="A761" t="s">
        <v>3035</v>
      </c>
      <c r="B761" t="s">
        <v>3038</v>
      </c>
      <c r="C761">
        <v>0</v>
      </c>
      <c r="D761" t="s">
        <v>1176</v>
      </c>
      <c r="E761" t="str">
        <f>CONCATENATE(J761,". ",N761)</f>
        <v>. TBC</v>
      </c>
      <c r="F761">
        <v>75</v>
      </c>
      <c r="G761" t="b">
        <v>0</v>
      </c>
      <c r="H761">
        <v>0</v>
      </c>
      <c r="K761" s="188">
        <f>IFERROR(_xlfn.XLOOKUP(A761,[1]Fleet!A:A,[1]Fleet!E:E,""),"")</f>
        <v>12</v>
      </c>
      <c r="L761" s="188" t="s">
        <v>76</v>
      </c>
      <c r="M761" s="188" t="s">
        <v>76</v>
      </c>
      <c r="N761" s="188" t="s">
        <v>1712</v>
      </c>
      <c r="O761">
        <v>781</v>
      </c>
      <c r="P761">
        <f>_xlfn.XLOOKUP(A761,'[1]Classic Net to delete'!D:D,'[1]Classic Net to delete'!AA:AA,0)</f>
        <v>0</v>
      </c>
    </row>
    <row r="762" spans="1:16" x14ac:dyDescent="0.25">
      <c r="A762" t="s">
        <v>3035</v>
      </c>
      <c r="B762" t="s">
        <v>3039</v>
      </c>
      <c r="C762">
        <v>0</v>
      </c>
      <c r="D762" t="s">
        <v>1176</v>
      </c>
      <c r="E762" t="str">
        <f>CONCATENATE(J762,". ",N762)</f>
        <v>. TBC</v>
      </c>
      <c r="F762">
        <v>75</v>
      </c>
      <c r="G762" t="b">
        <v>0</v>
      </c>
      <c r="H762">
        <v>0</v>
      </c>
      <c r="K762" s="188">
        <f>IFERROR(_xlfn.XLOOKUP(A762,[1]Fleet!A:A,[1]Fleet!E:E,""),"")</f>
        <v>12</v>
      </c>
      <c r="L762" s="188" t="s">
        <v>76</v>
      </c>
      <c r="M762" s="188" t="s">
        <v>76</v>
      </c>
      <c r="N762" s="188" t="s">
        <v>1712</v>
      </c>
      <c r="O762">
        <v>782</v>
      </c>
      <c r="P762">
        <f>_xlfn.XLOOKUP(A762,'[1]Classic Net to delete'!D:D,'[1]Classic Net to delete'!AA:AA,0)</f>
        <v>0</v>
      </c>
    </row>
    <row r="763" spans="1:16" x14ac:dyDescent="0.25">
      <c r="A763" t="s">
        <v>3035</v>
      </c>
      <c r="B763" t="s">
        <v>3040</v>
      </c>
      <c r="C763">
        <v>0</v>
      </c>
      <c r="D763" t="s">
        <v>1176</v>
      </c>
      <c r="E763" t="str">
        <f>CONCATENATE(J763,". ",N763)</f>
        <v>. TBC</v>
      </c>
      <c r="F763">
        <v>75</v>
      </c>
      <c r="G763" t="b">
        <v>0</v>
      </c>
      <c r="H763">
        <v>0</v>
      </c>
      <c r="K763" s="188">
        <f>IFERROR(_xlfn.XLOOKUP(A763,[1]Fleet!A:A,[1]Fleet!E:E,""),"")</f>
        <v>12</v>
      </c>
      <c r="L763" s="188" t="s">
        <v>76</v>
      </c>
      <c r="M763" s="188" t="s">
        <v>76</v>
      </c>
      <c r="N763" s="188" t="s">
        <v>1712</v>
      </c>
      <c r="O763">
        <v>783</v>
      </c>
      <c r="P763">
        <f>_xlfn.XLOOKUP(A763,'[1]Classic Net to delete'!D:D,'[1]Classic Net to delete'!AA:AA,0)</f>
        <v>0</v>
      </c>
    </row>
    <row r="764" spans="1:16" x14ac:dyDescent="0.25">
      <c r="A764" t="s">
        <v>3035</v>
      </c>
      <c r="B764" t="s">
        <v>3041</v>
      </c>
      <c r="C764">
        <v>0</v>
      </c>
      <c r="D764" t="s">
        <v>1176</v>
      </c>
      <c r="E764" t="str">
        <f>CONCATENATE(J764,". ",N764)</f>
        <v>. TBC</v>
      </c>
      <c r="F764">
        <v>75</v>
      </c>
      <c r="G764" t="b">
        <v>0</v>
      </c>
      <c r="H764">
        <v>0</v>
      </c>
      <c r="K764" s="188">
        <f>IFERROR(_xlfn.XLOOKUP(A764,[1]Fleet!A:A,[1]Fleet!E:E,""),"")</f>
        <v>12</v>
      </c>
      <c r="L764" s="188" t="s">
        <v>76</v>
      </c>
      <c r="M764" s="188" t="s">
        <v>76</v>
      </c>
      <c r="N764" s="188" t="s">
        <v>1712</v>
      </c>
      <c r="O764">
        <v>784</v>
      </c>
      <c r="P764">
        <f>_xlfn.XLOOKUP(A764,'[1]Classic Net to delete'!D:D,'[1]Classic Net to delete'!AA:AA,0)</f>
        <v>0</v>
      </c>
    </row>
    <row r="765" spans="1:16" x14ac:dyDescent="0.25">
      <c r="A765" t="s">
        <v>3035</v>
      </c>
      <c r="B765" t="s">
        <v>3042</v>
      </c>
      <c r="C765">
        <v>0</v>
      </c>
      <c r="D765" t="s">
        <v>1176</v>
      </c>
      <c r="E765" t="str">
        <f>CONCATENATE(J765,". ",N765)</f>
        <v>. TBC</v>
      </c>
      <c r="F765">
        <v>75</v>
      </c>
      <c r="G765" t="b">
        <v>0</v>
      </c>
      <c r="H765">
        <v>0</v>
      </c>
      <c r="K765" s="188">
        <f>IFERROR(_xlfn.XLOOKUP(A765,[1]Fleet!A:A,[1]Fleet!E:E,""),"")</f>
        <v>12</v>
      </c>
      <c r="L765" s="188" t="s">
        <v>76</v>
      </c>
      <c r="M765" s="188" t="s">
        <v>76</v>
      </c>
      <c r="N765" s="188" t="s">
        <v>1712</v>
      </c>
      <c r="O765">
        <v>785</v>
      </c>
      <c r="P765">
        <f>_xlfn.XLOOKUP(A765,'[1]Classic Net to delete'!D:D,'[1]Classic Net to delete'!AA:AA,0)</f>
        <v>0</v>
      </c>
    </row>
    <row r="766" spans="1:16" x14ac:dyDescent="0.25">
      <c r="A766" t="s">
        <v>3035</v>
      </c>
      <c r="B766" t="s">
        <v>3043</v>
      </c>
      <c r="C766">
        <v>0</v>
      </c>
      <c r="D766" t="s">
        <v>1176</v>
      </c>
      <c r="E766" t="str">
        <f>CONCATENATE(J766,". ",N766)</f>
        <v>. TBC</v>
      </c>
      <c r="F766">
        <v>75</v>
      </c>
      <c r="G766" t="b">
        <v>0</v>
      </c>
      <c r="H766">
        <v>0</v>
      </c>
      <c r="K766" s="188">
        <f>IFERROR(_xlfn.XLOOKUP(A766,[1]Fleet!A:A,[1]Fleet!E:E,""),"")</f>
        <v>12</v>
      </c>
      <c r="L766" s="188" t="s">
        <v>76</v>
      </c>
      <c r="M766" s="188" t="s">
        <v>76</v>
      </c>
      <c r="N766" s="188" t="s">
        <v>1712</v>
      </c>
      <c r="O766">
        <v>786</v>
      </c>
      <c r="P766">
        <f>_xlfn.XLOOKUP(A766,'[1]Classic Net to delete'!D:D,'[1]Classic Net to delete'!AA:AA,0)</f>
        <v>0</v>
      </c>
    </row>
    <row r="767" spans="1:16" x14ac:dyDescent="0.25">
      <c r="A767" t="s">
        <v>3035</v>
      </c>
      <c r="B767" t="s">
        <v>3044</v>
      </c>
      <c r="C767">
        <v>0</v>
      </c>
      <c r="D767" t="s">
        <v>1176</v>
      </c>
      <c r="E767" t="str">
        <f>CONCATENATE(J767,". ",N767)</f>
        <v>. TBC</v>
      </c>
      <c r="F767">
        <v>75</v>
      </c>
      <c r="G767" t="b">
        <v>0</v>
      </c>
      <c r="H767">
        <v>0</v>
      </c>
      <c r="K767" s="188">
        <f>IFERROR(_xlfn.XLOOKUP(A767,[1]Fleet!A:A,[1]Fleet!E:E,""),"")</f>
        <v>12</v>
      </c>
      <c r="L767" s="188" t="s">
        <v>76</v>
      </c>
      <c r="M767" s="188" t="s">
        <v>76</v>
      </c>
      <c r="N767" s="188" t="s">
        <v>1712</v>
      </c>
      <c r="O767">
        <v>787</v>
      </c>
      <c r="P767">
        <f>_xlfn.XLOOKUP(A767,'[1]Classic Net to delete'!D:D,'[1]Classic Net to delete'!AA:AA,0)</f>
        <v>0</v>
      </c>
    </row>
    <row r="768" spans="1:16" x14ac:dyDescent="0.25">
      <c r="A768" t="s">
        <v>3035</v>
      </c>
      <c r="B768" t="s">
        <v>3045</v>
      </c>
      <c r="C768">
        <v>0</v>
      </c>
      <c r="D768" t="s">
        <v>1176</v>
      </c>
      <c r="E768" t="str">
        <f>CONCATENATE(J768,". ",N768)</f>
        <v>. TBC</v>
      </c>
      <c r="F768">
        <v>75</v>
      </c>
      <c r="G768" t="b">
        <v>0</v>
      </c>
      <c r="H768">
        <v>0</v>
      </c>
      <c r="K768" s="188">
        <f>IFERROR(_xlfn.XLOOKUP(A768,[1]Fleet!A:A,[1]Fleet!E:E,""),"")</f>
        <v>12</v>
      </c>
      <c r="L768" s="188" t="s">
        <v>76</v>
      </c>
      <c r="M768" s="188" t="s">
        <v>76</v>
      </c>
      <c r="N768" s="188" t="s">
        <v>1712</v>
      </c>
      <c r="O768">
        <v>788</v>
      </c>
      <c r="P768">
        <f>_xlfn.XLOOKUP(A768,'[1]Classic Net to delete'!D:D,'[1]Classic Net to delete'!AA:AA,0)</f>
        <v>0</v>
      </c>
    </row>
    <row r="769" spans="1:16" x14ac:dyDescent="0.25">
      <c r="A769" t="s">
        <v>3035</v>
      </c>
      <c r="B769" t="s">
        <v>3046</v>
      </c>
      <c r="C769">
        <v>0</v>
      </c>
      <c r="D769" t="s">
        <v>1176</v>
      </c>
      <c r="E769" t="str">
        <f>CONCATENATE(J769,". ",N769)</f>
        <v>. TBC</v>
      </c>
      <c r="F769">
        <v>75</v>
      </c>
      <c r="G769" t="b">
        <v>0</v>
      </c>
      <c r="H769">
        <v>0</v>
      </c>
      <c r="K769" s="188">
        <f>IFERROR(_xlfn.XLOOKUP(A769,[1]Fleet!A:A,[1]Fleet!E:E,""),"")</f>
        <v>12</v>
      </c>
      <c r="L769" s="188" t="s">
        <v>76</v>
      </c>
      <c r="M769" s="188" t="s">
        <v>76</v>
      </c>
      <c r="N769" s="188" t="s">
        <v>1712</v>
      </c>
      <c r="O769">
        <v>789</v>
      </c>
      <c r="P769">
        <f>_xlfn.XLOOKUP(A769,'[1]Classic Net to delete'!D:D,'[1]Classic Net to delete'!AA:AA,0)</f>
        <v>0</v>
      </c>
    </row>
    <row r="770" spans="1:16" x14ac:dyDescent="0.25">
      <c r="A770" t="s">
        <v>3035</v>
      </c>
      <c r="B770" t="s">
        <v>3047</v>
      </c>
      <c r="C770">
        <v>0</v>
      </c>
      <c r="D770" t="s">
        <v>1176</v>
      </c>
      <c r="E770" t="str">
        <f>CONCATENATE(J770,". ",N770)</f>
        <v>. TBC</v>
      </c>
      <c r="F770">
        <v>75</v>
      </c>
      <c r="G770" t="b">
        <v>0</v>
      </c>
      <c r="H770">
        <v>0</v>
      </c>
      <c r="K770" s="188">
        <f>IFERROR(_xlfn.XLOOKUP(A770,[1]Fleet!A:A,[1]Fleet!E:E,""),"")</f>
        <v>12</v>
      </c>
      <c r="L770" s="188" t="s">
        <v>76</v>
      </c>
      <c r="M770" s="188" t="s">
        <v>76</v>
      </c>
      <c r="N770" s="188" t="s">
        <v>1712</v>
      </c>
      <c r="O770">
        <v>790</v>
      </c>
      <c r="P770">
        <f>_xlfn.XLOOKUP(A770,'[1]Classic Net to delete'!D:D,'[1]Classic Net to delete'!AA:AA,0)</f>
        <v>0</v>
      </c>
    </row>
    <row r="771" spans="1:16" x14ac:dyDescent="0.25">
      <c r="A771" t="s">
        <v>1213</v>
      </c>
      <c r="B771" t="s">
        <v>1214</v>
      </c>
      <c r="C771">
        <v>21.88</v>
      </c>
      <c r="D771" t="s">
        <v>1176</v>
      </c>
      <c r="E771" t="str">
        <f>CONCATENATE(J771,". ",N771)</f>
        <v>. Transformers</v>
      </c>
      <c r="F771">
        <v>75</v>
      </c>
      <c r="G771" t="b">
        <v>0</v>
      </c>
      <c r="H771">
        <v>0</v>
      </c>
      <c r="K771" s="188">
        <f>IFERROR(_xlfn.XLOOKUP(A771,[1]Fleet!A:A,[1]Fleet!E:E,""),"")</f>
        <v>2</v>
      </c>
      <c r="L771" s="188" t="s">
        <v>76</v>
      </c>
      <c r="M771" s="188" t="s">
        <v>76</v>
      </c>
      <c r="N771" s="188" t="s">
        <v>1208</v>
      </c>
      <c r="O771">
        <v>797</v>
      </c>
      <c r="P771">
        <f>_xlfn.XLOOKUP(A771,'[1]Classic Net to delete'!D:D,'[1]Classic Net to delete'!AA:AA,0)</f>
        <v>0</v>
      </c>
    </row>
    <row r="772" spans="1:16" x14ac:dyDescent="0.25">
      <c r="A772" t="s">
        <v>2997</v>
      </c>
      <c r="B772" t="s">
        <v>2998</v>
      </c>
      <c r="C772">
        <v>0</v>
      </c>
      <c r="D772" t="s">
        <v>1176</v>
      </c>
      <c r="E772" t="str">
        <f>CONCATENATE(J772,". ",N772)</f>
        <v>. Welding</v>
      </c>
      <c r="F772">
        <v>75</v>
      </c>
      <c r="G772" t="b">
        <v>0</v>
      </c>
      <c r="H772">
        <v>0</v>
      </c>
      <c r="K772" s="188">
        <f>IFERROR(_xlfn.XLOOKUP(A772,[1]Fleet!A:A,[1]Fleet!E:E,""),"")</f>
        <v>2</v>
      </c>
      <c r="L772" s="188" t="s">
        <v>76</v>
      </c>
      <c r="M772" s="188" t="s">
        <v>76</v>
      </c>
      <c r="N772" s="188" t="s">
        <v>1521</v>
      </c>
      <c r="O772">
        <v>799</v>
      </c>
      <c r="P772">
        <f>_xlfn.XLOOKUP(A772,'[1]Classic Net to delete'!D:D,'[1]Classic Net to delete'!AA:AA,0)</f>
        <v>0</v>
      </c>
    </row>
    <row r="773" spans="1:16" x14ac:dyDescent="0.25">
      <c r="A773" t="s">
        <v>2997</v>
      </c>
      <c r="B773" t="s">
        <v>2999</v>
      </c>
      <c r="C773">
        <v>0</v>
      </c>
      <c r="D773" t="s">
        <v>1176</v>
      </c>
      <c r="E773" t="str">
        <f>CONCATENATE(J773,". ",N773)</f>
        <v>. Welding</v>
      </c>
      <c r="F773">
        <v>75</v>
      </c>
      <c r="G773" t="b">
        <v>0</v>
      </c>
      <c r="H773">
        <v>0</v>
      </c>
      <c r="K773" s="188">
        <f>IFERROR(_xlfn.XLOOKUP(A773,[1]Fleet!A:A,[1]Fleet!E:E,""),"")</f>
        <v>2</v>
      </c>
      <c r="L773" s="188" t="s">
        <v>76</v>
      </c>
      <c r="M773" s="188" t="s">
        <v>76</v>
      </c>
      <c r="N773" s="188" t="s">
        <v>1521</v>
      </c>
      <c r="O773">
        <v>800</v>
      </c>
      <c r="P773">
        <f>_xlfn.XLOOKUP(A773,'[1]Classic Net to delete'!D:D,'[1]Classic Net to delete'!AA:AA,0)</f>
        <v>0</v>
      </c>
    </row>
    <row r="774" spans="1:16" x14ac:dyDescent="0.25">
      <c r="A774" t="s">
        <v>1178</v>
      </c>
      <c r="B774" s="188" t="s">
        <v>1179</v>
      </c>
      <c r="C774">
        <v>75.38</v>
      </c>
      <c r="D774" t="s">
        <v>1176</v>
      </c>
      <c r="E774" t="str">
        <f>CONCATENATE(J774,". ",N774)</f>
        <v>01. Generators</v>
      </c>
      <c r="F774">
        <v>75</v>
      </c>
      <c r="G774" t="b">
        <v>1</v>
      </c>
      <c r="H774">
        <v>664</v>
      </c>
      <c r="J774" s="193" t="s">
        <v>20</v>
      </c>
      <c r="K774" s="188">
        <f>IFERROR(_xlfn.XLOOKUP(A774,[1]Fleet!A:A,[1]Fleet!E:E,""),"")</f>
        <v>37</v>
      </c>
      <c r="L774" s="188">
        <v>70.45</v>
      </c>
      <c r="M774" s="188" t="s">
        <v>1179</v>
      </c>
      <c r="N774" s="188" t="s">
        <v>1177</v>
      </c>
      <c r="O774">
        <v>766</v>
      </c>
      <c r="P774">
        <f>_xlfn.XLOOKUP(A774,'[1]Classic Net to delete'!D:D,'[1]Classic Net to delete'!AA:AA,0)</f>
        <v>664</v>
      </c>
    </row>
    <row r="775" spans="1:16" x14ac:dyDescent="0.25">
      <c r="A775" t="s">
        <v>1226</v>
      </c>
      <c r="B775" s="188" t="s">
        <v>1227</v>
      </c>
      <c r="C775">
        <v>151.41</v>
      </c>
      <c r="D775" t="s">
        <v>1176</v>
      </c>
      <c r="E775" t="str">
        <f>CONCATENATE(J775,". ",N775)</f>
        <v>01. Generators</v>
      </c>
      <c r="F775">
        <v>75</v>
      </c>
      <c r="G775" t="b">
        <v>1</v>
      </c>
      <c r="H775">
        <v>665</v>
      </c>
      <c r="J775" s="193" t="s">
        <v>20</v>
      </c>
      <c r="K775" s="188">
        <f>IFERROR(_xlfn.XLOOKUP(A775,[1]Fleet!A:A,[1]Fleet!E:E,""),"")</f>
        <v>3</v>
      </c>
      <c r="L775" s="188">
        <v>141.5</v>
      </c>
      <c r="M775" s="188" t="s">
        <v>1227</v>
      </c>
      <c r="N775" s="188" t="s">
        <v>1177</v>
      </c>
      <c r="O775">
        <v>774</v>
      </c>
      <c r="P775">
        <f>_xlfn.XLOOKUP(A775,'[1]Classic Net to delete'!D:D,'[1]Classic Net to delete'!AA:AA,0)</f>
        <v>665</v>
      </c>
    </row>
    <row r="776" spans="1:16" x14ac:dyDescent="0.25">
      <c r="A776" t="s">
        <v>1182</v>
      </c>
      <c r="B776" s="188" t="s">
        <v>1183</v>
      </c>
      <c r="C776">
        <v>139.18</v>
      </c>
      <c r="D776" t="s">
        <v>1176</v>
      </c>
      <c r="E776" t="str">
        <f>CONCATENATE(J776,". ",N776)</f>
        <v>01. Generators</v>
      </c>
      <c r="F776">
        <v>75</v>
      </c>
      <c r="G776" t="b">
        <v>1</v>
      </c>
      <c r="H776">
        <v>666</v>
      </c>
      <c r="J776" s="193" t="s">
        <v>20</v>
      </c>
      <c r="K776" s="188">
        <f>IFERROR(_xlfn.XLOOKUP(A776,[1]Fleet!A:A,[1]Fleet!E:E,""),"")</f>
        <v>20</v>
      </c>
      <c r="L776" s="188">
        <v>117.95</v>
      </c>
      <c r="M776" s="188" t="s">
        <v>1183</v>
      </c>
      <c r="N776" s="188" t="s">
        <v>1177</v>
      </c>
      <c r="O776">
        <v>770</v>
      </c>
      <c r="P776">
        <f>_xlfn.XLOOKUP(A776,'[1]Classic Net to delete'!D:D,'[1]Classic Net to delete'!AA:AA,0)</f>
        <v>666</v>
      </c>
    </row>
    <row r="777" spans="1:16" x14ac:dyDescent="0.25">
      <c r="A777" t="s">
        <v>1186</v>
      </c>
      <c r="B777" s="188" t="s">
        <v>1187</v>
      </c>
      <c r="C777">
        <v>236.1</v>
      </c>
      <c r="D777" t="s">
        <v>1176</v>
      </c>
      <c r="E777" t="str">
        <f>CONCATENATE(J777,". ",N777)</f>
        <v>01. Generators</v>
      </c>
      <c r="F777">
        <v>75</v>
      </c>
      <c r="G777" t="b">
        <v>1</v>
      </c>
      <c r="H777">
        <v>667</v>
      </c>
      <c r="J777" s="193" t="s">
        <v>20</v>
      </c>
      <c r="K777" s="188">
        <f>IFERROR(_xlfn.XLOOKUP(A777,[1]Fleet!A:A,[1]Fleet!E:E,""),"")</f>
        <v>46</v>
      </c>
      <c r="L777" s="188">
        <v>210.8</v>
      </c>
      <c r="M777" s="188" t="s">
        <v>1187</v>
      </c>
      <c r="N777" s="188" t="s">
        <v>1177</v>
      </c>
      <c r="O777">
        <v>771</v>
      </c>
      <c r="P777">
        <f>_xlfn.XLOOKUP(A777,'[1]Classic Net to delete'!D:D,'[1]Classic Net to delete'!AA:AA,0)</f>
        <v>667</v>
      </c>
    </row>
    <row r="778" spans="1:16" x14ac:dyDescent="0.25">
      <c r="A778" t="s">
        <v>1186</v>
      </c>
      <c r="B778" s="188" t="s">
        <v>1188</v>
      </c>
      <c r="C778">
        <v>236.1</v>
      </c>
      <c r="D778" t="s">
        <v>1176</v>
      </c>
      <c r="E778" t="str">
        <f>CONCATENATE(J778,". ",N778)</f>
        <v>01. Generators</v>
      </c>
      <c r="F778">
        <v>75</v>
      </c>
      <c r="G778" t="b">
        <v>1</v>
      </c>
      <c r="H778">
        <v>667</v>
      </c>
      <c r="J778" s="193" t="s">
        <v>20</v>
      </c>
      <c r="K778" s="188">
        <f>IFERROR(_xlfn.XLOOKUP(A778,[1]Fleet!A:A,[1]Fleet!E:E,""),"")</f>
        <v>46</v>
      </c>
      <c r="L778" s="188">
        <v>210.8</v>
      </c>
      <c r="M778" s="188" t="s">
        <v>1187</v>
      </c>
      <c r="N778" s="188" t="s">
        <v>1177</v>
      </c>
      <c r="O778">
        <v>775</v>
      </c>
      <c r="P778">
        <f>_xlfn.XLOOKUP(A778,'[1]Classic Net to delete'!D:D,'[1]Classic Net to delete'!AA:AA,0)</f>
        <v>667</v>
      </c>
    </row>
    <row r="779" spans="1:16" x14ac:dyDescent="0.25">
      <c r="A779" t="s">
        <v>1224</v>
      </c>
      <c r="B779" s="188" t="s">
        <v>1225</v>
      </c>
      <c r="C779">
        <v>280.70999999999998</v>
      </c>
      <c r="D779" t="s">
        <v>1176</v>
      </c>
      <c r="E779" t="str">
        <f>CONCATENATE(J779,". ",N779)</f>
        <v>01. Generators</v>
      </c>
      <c r="F779">
        <v>75</v>
      </c>
      <c r="G779" t="b">
        <v>1</v>
      </c>
      <c r="H779">
        <v>668</v>
      </c>
      <c r="J779" s="193" t="s">
        <v>20</v>
      </c>
      <c r="K779" s="188">
        <f>IFERROR(_xlfn.XLOOKUP(A779,[1]Fleet!A:A,[1]Fleet!E:E,""),"")</f>
        <v>16</v>
      </c>
      <c r="L779" s="188">
        <v>262.35000000000002</v>
      </c>
      <c r="M779" s="188" t="s">
        <v>1225</v>
      </c>
      <c r="N779" s="188" t="s">
        <v>1177</v>
      </c>
      <c r="O779">
        <v>767</v>
      </c>
      <c r="P779">
        <f>_xlfn.XLOOKUP(A779,'[1]Classic Net to delete'!D:D,'[1]Classic Net to delete'!AA:AA,0)</f>
        <v>668</v>
      </c>
    </row>
    <row r="780" spans="1:16" x14ac:dyDescent="0.25">
      <c r="A780" t="s">
        <v>1189</v>
      </c>
      <c r="B780" s="188" t="s">
        <v>1190</v>
      </c>
      <c r="C780">
        <v>314.79000000000002</v>
      </c>
      <c r="D780" t="s">
        <v>1176</v>
      </c>
      <c r="E780" t="str">
        <f>CONCATENATE(J780,". ",N780)</f>
        <v>01. Generators</v>
      </c>
      <c r="F780">
        <v>75</v>
      </c>
      <c r="G780" t="b">
        <v>1</v>
      </c>
      <c r="H780">
        <v>669</v>
      </c>
      <c r="J780" s="193" t="s">
        <v>20</v>
      </c>
      <c r="K780" s="188">
        <f>IFERROR(_xlfn.XLOOKUP(A780,[1]Fleet!A:A,[1]Fleet!E:E,""),"")</f>
        <v>3</v>
      </c>
      <c r="L780" s="188">
        <v>294.2</v>
      </c>
      <c r="M780" s="188" t="s">
        <v>1190</v>
      </c>
      <c r="N780" s="188" t="s">
        <v>1177</v>
      </c>
      <c r="O780">
        <v>772</v>
      </c>
      <c r="P780">
        <f>_xlfn.XLOOKUP(A780,'[1]Classic Net to delete'!D:D,'[1]Classic Net to delete'!AA:AA,0)</f>
        <v>669</v>
      </c>
    </row>
    <row r="781" spans="1:16" x14ac:dyDescent="0.25">
      <c r="A781" t="s">
        <v>1191</v>
      </c>
      <c r="B781" t="s">
        <v>1192</v>
      </c>
      <c r="C781">
        <v>333.25</v>
      </c>
      <c r="D781" t="s">
        <v>1176</v>
      </c>
      <c r="E781" t="str">
        <f>CONCATENATE(J781,". ",N781)</f>
        <v>01. Generators</v>
      </c>
      <c r="F781">
        <v>75</v>
      </c>
      <c r="G781" t="b">
        <v>1</v>
      </c>
      <c r="H781">
        <v>669.1</v>
      </c>
      <c r="J781" s="193" t="s">
        <v>20</v>
      </c>
      <c r="K781" s="188">
        <f>IFERROR(_xlfn.XLOOKUP(A781,[1]Fleet!A:A,[1]Fleet!E:E,""),"")</f>
        <v>18</v>
      </c>
      <c r="L781" s="188" t="s">
        <v>76</v>
      </c>
      <c r="M781" s="188" t="s">
        <v>76</v>
      </c>
      <c r="N781" s="188" t="s">
        <v>1177</v>
      </c>
      <c r="O781">
        <v>773</v>
      </c>
      <c r="P781">
        <f>_xlfn.XLOOKUP(A781,'[1]Classic Net to delete'!D:D,'[1]Classic Net to delete'!AA:AA,0)</f>
        <v>0</v>
      </c>
    </row>
    <row r="782" spans="1:16" x14ac:dyDescent="0.25">
      <c r="A782" t="s">
        <v>1228</v>
      </c>
      <c r="B782" s="188" t="s">
        <v>1229</v>
      </c>
      <c r="C782">
        <v>334.32</v>
      </c>
      <c r="D782" t="s">
        <v>1176</v>
      </c>
      <c r="E782" t="str">
        <f>CONCATENATE(J782,". ",N782)</f>
        <v>01. Generators</v>
      </c>
      <c r="F782">
        <v>75</v>
      </c>
      <c r="G782" t="b">
        <v>1</v>
      </c>
      <c r="H782">
        <v>670</v>
      </c>
      <c r="J782" s="193" t="s">
        <v>20</v>
      </c>
      <c r="K782" s="188">
        <f>IFERROR(_xlfn.XLOOKUP(A782,[1]Fleet!A:A,[1]Fleet!E:E,""),"")</f>
        <v>9</v>
      </c>
      <c r="L782" s="188">
        <v>312.45000000000005</v>
      </c>
      <c r="M782" s="188" t="s">
        <v>1229</v>
      </c>
      <c r="N782" s="188" t="s">
        <v>1177</v>
      </c>
      <c r="O782">
        <v>768</v>
      </c>
      <c r="P782">
        <f>_xlfn.XLOOKUP(A782,'[1]Classic Net to delete'!D:D,'[1]Classic Net to delete'!AA:AA,0)</f>
        <v>670</v>
      </c>
    </row>
    <row r="783" spans="1:16" x14ac:dyDescent="0.25">
      <c r="A783" t="s">
        <v>1230</v>
      </c>
      <c r="B783" s="188" t="s">
        <v>1231</v>
      </c>
      <c r="C783">
        <v>500.64</v>
      </c>
      <c r="D783" t="s">
        <v>1176</v>
      </c>
      <c r="E783" t="str">
        <f>CONCATENATE(J783,". ",N783)</f>
        <v>01. Generators</v>
      </c>
      <c r="F783">
        <v>75</v>
      </c>
      <c r="G783" t="b">
        <v>1</v>
      </c>
      <c r="H783">
        <v>671</v>
      </c>
      <c r="J783" s="193" t="s">
        <v>20</v>
      </c>
      <c r="K783" s="188">
        <f>IFERROR(_xlfn.XLOOKUP(A783,[1]Fleet!A:A,[1]Fleet!E:E,""),"")</f>
        <v>3</v>
      </c>
      <c r="L783" s="188">
        <v>447</v>
      </c>
      <c r="M783" s="188" t="s">
        <v>1231</v>
      </c>
      <c r="N783" s="188" t="s">
        <v>1177</v>
      </c>
      <c r="O783">
        <v>776</v>
      </c>
      <c r="P783">
        <f>_xlfn.XLOOKUP(A783,'[1]Classic Net to delete'!D:D,'[1]Classic Net to delete'!AA:AA,0)</f>
        <v>671</v>
      </c>
    </row>
    <row r="784" spans="1:16" x14ac:dyDescent="0.25">
      <c r="A784" t="s">
        <v>1518</v>
      </c>
      <c r="B784" t="s">
        <v>1519</v>
      </c>
      <c r="C784">
        <v>230.22</v>
      </c>
      <c r="D784" t="s">
        <v>1176</v>
      </c>
      <c r="E784" t="str">
        <f>CONCATENATE(J784,". ",N784)</f>
        <v>02. Welding</v>
      </c>
      <c r="F784">
        <v>75</v>
      </c>
      <c r="G784" t="b">
        <v>1</v>
      </c>
      <c r="H784">
        <v>674</v>
      </c>
      <c r="J784" s="193" t="s">
        <v>189</v>
      </c>
      <c r="K784" s="188">
        <f>IFERROR(_xlfn.XLOOKUP(A784,[1]Fleet!A:A,[1]Fleet!E:E,""),"")</f>
        <v>3</v>
      </c>
      <c r="L784" s="188">
        <v>205.55</v>
      </c>
      <c r="M784" s="188" t="s">
        <v>1520</v>
      </c>
      <c r="N784" s="188" t="s">
        <v>1521</v>
      </c>
      <c r="O784">
        <v>798</v>
      </c>
      <c r="P784">
        <f>_xlfn.XLOOKUP(A784,'[1]Classic Net to delete'!D:D,'[1]Classic Net to delete'!AA:AA,0)</f>
        <v>674</v>
      </c>
    </row>
    <row r="785" spans="1:16" x14ac:dyDescent="0.25">
      <c r="A785" t="s">
        <v>2495</v>
      </c>
      <c r="B785" t="s">
        <v>2496</v>
      </c>
      <c r="C785">
        <v>33.76</v>
      </c>
      <c r="D785" t="s">
        <v>1176</v>
      </c>
      <c r="E785" t="str">
        <f>CONCATENATE(J785,". ",N785)</f>
        <v>02. Welding</v>
      </c>
      <c r="F785">
        <v>75</v>
      </c>
      <c r="G785" t="b">
        <v>1</v>
      </c>
      <c r="H785">
        <v>675</v>
      </c>
      <c r="J785" s="193" t="s">
        <v>189</v>
      </c>
      <c r="K785" s="188" t="str">
        <f>IFERROR(_xlfn.XLOOKUP(A785,[1]Fleet!A:A,[1]Fleet!E:E,""),"")</f>
        <v/>
      </c>
      <c r="L785" s="188">
        <v>31.55</v>
      </c>
      <c r="M785" s="188" t="s">
        <v>2497</v>
      </c>
      <c r="N785" s="188" t="s">
        <v>1521</v>
      </c>
      <c r="O785">
        <v>764</v>
      </c>
      <c r="P785">
        <f>_xlfn.XLOOKUP(A785,'[1]Classic Net to delete'!D:D,'[1]Classic Net to delete'!AA:AA,0)</f>
        <v>675</v>
      </c>
    </row>
    <row r="786" spans="1:16" x14ac:dyDescent="0.25">
      <c r="A786" t="s">
        <v>2493</v>
      </c>
      <c r="B786" t="s">
        <v>2494</v>
      </c>
      <c r="C786">
        <v>47.03</v>
      </c>
      <c r="D786" t="s">
        <v>1176</v>
      </c>
      <c r="E786" t="str">
        <f>CONCATENATE(J786,". ",N786)</f>
        <v>02. Welding</v>
      </c>
      <c r="F786">
        <v>75</v>
      </c>
      <c r="G786" t="b">
        <v>1</v>
      </c>
      <c r="H786">
        <v>676</v>
      </c>
      <c r="J786" s="193" t="s">
        <v>189</v>
      </c>
      <c r="K786" s="188" t="str">
        <f>IFERROR(_xlfn.XLOOKUP(A786,[1]Fleet!A:A,[1]Fleet!E:E,""),"")</f>
        <v/>
      </c>
      <c r="L786" s="188">
        <v>43.95</v>
      </c>
      <c r="M786" s="188" t="s">
        <v>2494</v>
      </c>
      <c r="N786" s="188" t="s">
        <v>1521</v>
      </c>
      <c r="O786">
        <v>765</v>
      </c>
      <c r="P786">
        <f>_xlfn.XLOOKUP(A786,'[1]Classic Net to delete'!D:D,'[1]Classic Net to delete'!AA:AA,0)</f>
        <v>676</v>
      </c>
    </row>
    <row r="787" spans="1:16" x14ac:dyDescent="0.25">
      <c r="A787" t="s">
        <v>1206</v>
      </c>
      <c r="B787" t="s">
        <v>1207</v>
      </c>
      <c r="C787">
        <v>41.410000000000004</v>
      </c>
      <c r="D787" t="s">
        <v>1176</v>
      </c>
      <c r="E787" t="str">
        <f>CONCATENATE(J787,". ",N787)</f>
        <v>03. Transformers</v>
      </c>
      <c r="F787">
        <v>75</v>
      </c>
      <c r="G787" t="b">
        <v>1</v>
      </c>
      <c r="H787">
        <v>680</v>
      </c>
      <c r="J787" s="193" t="s">
        <v>188</v>
      </c>
      <c r="K787" s="188">
        <f>IFERROR(_xlfn.XLOOKUP(A787,[1]Fleet!A:A,[1]Fleet!E:E,""),"")</f>
        <v>18</v>
      </c>
      <c r="L787" s="188">
        <v>38.700000000000003</v>
      </c>
      <c r="M787" s="188" t="s">
        <v>1207</v>
      </c>
      <c r="N787" s="188" t="s">
        <v>1208</v>
      </c>
      <c r="O787">
        <v>792</v>
      </c>
      <c r="P787">
        <f>_xlfn.XLOOKUP(A787,'[1]Classic Net to delete'!D:D,'[1]Classic Net to delete'!AA:AA,0)</f>
        <v>680</v>
      </c>
    </row>
    <row r="788" spans="1:16" x14ac:dyDescent="0.25">
      <c r="A788" t="s">
        <v>1209</v>
      </c>
      <c r="B788" t="s">
        <v>1210</v>
      </c>
      <c r="C788">
        <v>15.46</v>
      </c>
      <c r="D788" t="s">
        <v>1176</v>
      </c>
      <c r="E788" t="str">
        <f>CONCATENATE(J788,". ",N788)</f>
        <v>03. Transformers</v>
      </c>
      <c r="F788">
        <v>75</v>
      </c>
      <c r="G788" t="b">
        <v>1</v>
      </c>
      <c r="H788">
        <v>681</v>
      </c>
      <c r="J788" s="193" t="s">
        <v>188</v>
      </c>
      <c r="K788" s="188">
        <f>IFERROR(_xlfn.XLOOKUP(A788,[1]Fleet!A:A,[1]Fleet!E:E,""),"")</f>
        <v>188</v>
      </c>
      <c r="L788" s="188">
        <v>14.450000000000001</v>
      </c>
      <c r="M788" s="188" t="s">
        <v>1210</v>
      </c>
      <c r="N788" s="188" t="s">
        <v>1208</v>
      </c>
      <c r="O788">
        <v>793</v>
      </c>
      <c r="P788">
        <f>_xlfn.XLOOKUP(A788,'[1]Classic Net to delete'!D:D,'[1]Classic Net to delete'!AA:AA,0)</f>
        <v>681</v>
      </c>
    </row>
    <row r="789" spans="1:16" x14ac:dyDescent="0.25">
      <c r="A789" t="s">
        <v>1211</v>
      </c>
      <c r="B789" t="s">
        <v>1212</v>
      </c>
      <c r="C789">
        <v>15.46</v>
      </c>
      <c r="D789" t="s">
        <v>1176</v>
      </c>
      <c r="E789" t="str">
        <f>CONCATENATE(J789,". ",N789)</f>
        <v>03. Transformers</v>
      </c>
      <c r="F789">
        <v>75</v>
      </c>
      <c r="G789" t="b">
        <v>1</v>
      </c>
      <c r="H789">
        <v>682</v>
      </c>
      <c r="J789" s="193" t="s">
        <v>188</v>
      </c>
      <c r="K789" s="188">
        <f>IFERROR(_xlfn.XLOOKUP(A789,[1]Fleet!A:A,[1]Fleet!E:E,""),"")</f>
        <v>14</v>
      </c>
      <c r="L789" s="188">
        <v>14.450000000000001</v>
      </c>
      <c r="M789" s="188" t="s">
        <v>1212</v>
      </c>
      <c r="N789" s="188" t="s">
        <v>1208</v>
      </c>
      <c r="O789">
        <v>796</v>
      </c>
      <c r="P789">
        <f>_xlfn.XLOOKUP(A789,'[1]Classic Net to delete'!D:D,'[1]Classic Net to delete'!AA:AA,0)</f>
        <v>682</v>
      </c>
    </row>
    <row r="790" spans="1:16" x14ac:dyDescent="0.25">
      <c r="A790" t="s">
        <v>1215</v>
      </c>
      <c r="B790" t="s">
        <v>1216</v>
      </c>
      <c r="C790">
        <v>29.69</v>
      </c>
      <c r="D790" t="s">
        <v>1176</v>
      </c>
      <c r="E790" t="str">
        <f>CONCATENATE(J790,". ",N790)</f>
        <v>03. Transformers</v>
      </c>
      <c r="F790">
        <v>75</v>
      </c>
      <c r="G790" t="b">
        <v>1</v>
      </c>
      <c r="H790">
        <v>683</v>
      </c>
      <c r="J790" s="193" t="s">
        <v>188</v>
      </c>
      <c r="K790" s="188">
        <f>IFERROR(_xlfn.XLOOKUP(A790,[1]Fleet!A:A,[1]Fleet!E:E,""),"")</f>
        <v>145</v>
      </c>
      <c r="L790" s="188">
        <v>27.75</v>
      </c>
      <c r="M790" s="188" t="s">
        <v>1217</v>
      </c>
      <c r="N790" s="188" t="s">
        <v>1208</v>
      </c>
      <c r="O790">
        <v>794</v>
      </c>
      <c r="P790">
        <f>_xlfn.XLOOKUP(A790,'[1]Classic Net to delete'!D:D,'[1]Classic Net to delete'!AA:AA,0)</f>
        <v>683</v>
      </c>
    </row>
    <row r="791" spans="1:16" x14ac:dyDescent="0.25">
      <c r="A791" t="s">
        <v>1218</v>
      </c>
      <c r="B791" t="s">
        <v>1219</v>
      </c>
      <c r="C791">
        <v>58.1</v>
      </c>
      <c r="D791" t="s">
        <v>1176</v>
      </c>
      <c r="E791" t="str">
        <f>CONCATENATE(J791,". ",N791)</f>
        <v>03. Transformers</v>
      </c>
      <c r="F791">
        <v>75</v>
      </c>
      <c r="G791" t="b">
        <v>1</v>
      </c>
      <c r="H791">
        <v>684</v>
      </c>
      <c r="J791" s="193" t="s">
        <v>188</v>
      </c>
      <c r="K791" s="188">
        <f>IFERROR(_xlfn.XLOOKUP(A791,[1]Fleet!A:A,[1]Fleet!E:E,""),"")</f>
        <v>111</v>
      </c>
      <c r="L791" s="188">
        <v>54.300000000000004</v>
      </c>
      <c r="M791" s="188" t="s">
        <v>1220</v>
      </c>
      <c r="N791" s="188" t="s">
        <v>1208</v>
      </c>
      <c r="O791">
        <v>795</v>
      </c>
      <c r="P791">
        <f>_xlfn.XLOOKUP(A791,'[1]Classic Net to delete'!D:D,'[1]Classic Net to delete'!AA:AA,0)</f>
        <v>684</v>
      </c>
    </row>
    <row r="792" spans="1:16" x14ac:dyDescent="0.25">
      <c r="A792" t="s">
        <v>1221</v>
      </c>
      <c r="B792" t="s">
        <v>1222</v>
      </c>
      <c r="C792">
        <v>70.989999999999995</v>
      </c>
      <c r="D792" t="s">
        <v>1176</v>
      </c>
      <c r="E792" t="str">
        <f>CONCATENATE(J792,". ",N792)</f>
        <v>03. Transformers</v>
      </c>
      <c r="F792">
        <v>75</v>
      </c>
      <c r="G792" t="b">
        <v>1</v>
      </c>
      <c r="H792">
        <v>685</v>
      </c>
      <c r="J792" s="193" t="s">
        <v>188</v>
      </c>
      <c r="K792" s="188">
        <f>IFERROR(_xlfn.XLOOKUP(A792,[1]Fleet!A:A,[1]Fleet!E:E,""),"")</f>
        <v>10</v>
      </c>
      <c r="L792" s="188">
        <v>66.350000000000009</v>
      </c>
      <c r="M792" s="188" t="s">
        <v>1223</v>
      </c>
      <c r="N792" s="188" t="s">
        <v>1208</v>
      </c>
      <c r="O792">
        <v>791</v>
      </c>
      <c r="P792">
        <f>_xlfn.XLOOKUP(A792,'[1]Classic Net to delete'!D:D,'[1]Classic Net to delete'!AA:AA,0)</f>
        <v>685</v>
      </c>
    </row>
    <row r="793" spans="1:16" x14ac:dyDescent="0.25">
      <c r="A793" t="s">
        <v>2332</v>
      </c>
      <c r="B793" t="s">
        <v>2333</v>
      </c>
      <c r="C793">
        <v>5.99</v>
      </c>
      <c r="D793" t="s">
        <v>1176</v>
      </c>
      <c r="E793" t="str">
        <f>CONCATENATE(J793,". ",N793)</f>
        <v>04. Extensions and Distribution</v>
      </c>
      <c r="F793">
        <v>75</v>
      </c>
      <c r="G793" t="b">
        <v>1</v>
      </c>
      <c r="H793">
        <v>688</v>
      </c>
      <c r="J793" s="193" t="s">
        <v>269</v>
      </c>
      <c r="K793" s="188" t="str">
        <f>IFERROR(_xlfn.XLOOKUP(A793,[1]Fleet!A:A,[1]Fleet!E:E,""),"")</f>
        <v/>
      </c>
      <c r="L793" s="188">
        <v>5.6000000000000005</v>
      </c>
      <c r="M793" s="188" t="s">
        <v>2334</v>
      </c>
      <c r="N793" s="188" t="s">
        <v>1196</v>
      </c>
      <c r="O793">
        <v>753</v>
      </c>
      <c r="P793">
        <f>_xlfn.XLOOKUP(A793,'[1]Classic Net to delete'!D:D,'[1]Classic Net to delete'!AA:AA,0)</f>
        <v>688</v>
      </c>
    </row>
    <row r="794" spans="1:16" x14ac:dyDescent="0.25">
      <c r="A794" t="s">
        <v>2337</v>
      </c>
      <c r="B794" t="s">
        <v>2338</v>
      </c>
      <c r="C794">
        <v>14.98</v>
      </c>
      <c r="D794" t="s">
        <v>1176</v>
      </c>
      <c r="E794" t="str">
        <f>CONCATENATE(J794,". ",N794)</f>
        <v>04. Extensions and Distribution</v>
      </c>
      <c r="F794">
        <v>75</v>
      </c>
      <c r="G794" t="b">
        <v>1</v>
      </c>
      <c r="H794">
        <v>689</v>
      </c>
      <c r="J794" s="193" t="s">
        <v>269</v>
      </c>
      <c r="K794" s="188" t="str">
        <f>IFERROR(_xlfn.XLOOKUP(A794,[1]Fleet!A:A,[1]Fleet!E:E,""),"")</f>
        <v/>
      </c>
      <c r="L794" s="188">
        <v>14</v>
      </c>
      <c r="M794" s="188" t="s">
        <v>2339</v>
      </c>
      <c r="N794" s="188" t="s">
        <v>1196</v>
      </c>
      <c r="O794">
        <v>752</v>
      </c>
      <c r="P794">
        <f>_xlfn.XLOOKUP(A794,'[1]Classic Net to delete'!D:D,'[1]Classic Net to delete'!AA:AA,0)</f>
        <v>689</v>
      </c>
    </row>
    <row r="795" spans="1:16" x14ac:dyDescent="0.25">
      <c r="A795" t="s">
        <v>2330</v>
      </c>
      <c r="B795" t="s">
        <v>2331</v>
      </c>
      <c r="C795">
        <v>5.72</v>
      </c>
      <c r="D795" t="s">
        <v>1176</v>
      </c>
      <c r="E795" t="str">
        <f>CONCATENATE(J795,". ",N795)</f>
        <v>04. Extensions and Distribution</v>
      </c>
      <c r="F795">
        <v>75</v>
      </c>
      <c r="G795" t="b">
        <v>1</v>
      </c>
      <c r="H795">
        <v>690</v>
      </c>
      <c r="J795" s="193" t="s">
        <v>269</v>
      </c>
      <c r="K795" s="188" t="str">
        <f>IFERROR(_xlfn.XLOOKUP(A795,[1]Fleet!A:A,[1]Fleet!E:E,""),"")</f>
        <v/>
      </c>
      <c r="L795" s="188">
        <v>5.3500000000000005</v>
      </c>
      <c r="M795" s="188" t="s">
        <v>2331</v>
      </c>
      <c r="N795" s="188" t="s">
        <v>1196</v>
      </c>
      <c r="O795">
        <v>754</v>
      </c>
      <c r="P795">
        <f>_xlfn.XLOOKUP(A795,'[1]Classic Net to delete'!D:D,'[1]Classic Net to delete'!AA:AA,0)</f>
        <v>690</v>
      </c>
    </row>
    <row r="796" spans="1:16" x14ac:dyDescent="0.25">
      <c r="A796" t="s">
        <v>2346</v>
      </c>
      <c r="B796" t="s">
        <v>2347</v>
      </c>
      <c r="C796">
        <v>25.57</v>
      </c>
      <c r="D796" t="s">
        <v>1176</v>
      </c>
      <c r="E796" t="str">
        <f>CONCATENATE(J796,". ",N796)</f>
        <v>04. Extensions and Distribution</v>
      </c>
      <c r="F796">
        <v>75</v>
      </c>
      <c r="G796" t="b">
        <v>1</v>
      </c>
      <c r="H796">
        <v>691</v>
      </c>
      <c r="J796" s="193" t="s">
        <v>269</v>
      </c>
      <c r="K796" s="188" t="str">
        <f>IFERROR(_xlfn.XLOOKUP(A796,[1]Fleet!A:A,[1]Fleet!E:E,""),"")</f>
        <v/>
      </c>
      <c r="L796" s="188">
        <v>23.900000000000002</v>
      </c>
      <c r="M796" s="188" t="s">
        <v>2348</v>
      </c>
      <c r="N796" s="188" t="s">
        <v>1196</v>
      </c>
      <c r="O796">
        <v>751</v>
      </c>
      <c r="P796">
        <f>_xlfn.XLOOKUP(A796,'[1]Classic Net to delete'!D:D,'[1]Classic Net to delete'!AA:AA,0)</f>
        <v>691</v>
      </c>
    </row>
    <row r="797" spans="1:16" x14ac:dyDescent="0.25">
      <c r="A797" t="s">
        <v>1239</v>
      </c>
      <c r="B797" t="s">
        <v>1240</v>
      </c>
      <c r="C797">
        <v>14.870000000000001</v>
      </c>
      <c r="D797" t="s">
        <v>1176</v>
      </c>
      <c r="E797" t="str">
        <f>CONCATENATE(J797,". ",N797)</f>
        <v>04. Extensions and Distribution</v>
      </c>
      <c r="F797">
        <v>75</v>
      </c>
      <c r="G797" t="b">
        <v>1</v>
      </c>
      <c r="H797">
        <v>692</v>
      </c>
      <c r="J797" s="193" t="s">
        <v>269</v>
      </c>
      <c r="K797" s="188">
        <f>IFERROR(_xlfn.XLOOKUP(A797,[1]Fleet!A:A,[1]Fleet!E:E,""),"")</f>
        <v>13</v>
      </c>
      <c r="L797" s="188">
        <v>13.9</v>
      </c>
      <c r="M797" s="188" t="s">
        <v>1241</v>
      </c>
      <c r="N797" s="188" t="s">
        <v>1196</v>
      </c>
      <c r="O797">
        <v>761</v>
      </c>
      <c r="P797">
        <f>_xlfn.XLOOKUP(A797,'[1]Classic Net to delete'!D:D,'[1]Classic Net to delete'!AA:AA,0)</f>
        <v>692</v>
      </c>
    </row>
    <row r="798" spans="1:16" x14ac:dyDescent="0.25">
      <c r="A798" t="s">
        <v>1242</v>
      </c>
      <c r="B798" t="s">
        <v>1243</v>
      </c>
      <c r="C798">
        <v>2.89</v>
      </c>
      <c r="D798" t="s">
        <v>1176</v>
      </c>
      <c r="E798" t="str">
        <f>CONCATENATE(J798,". ",N798)</f>
        <v>04. Extensions and Distribution</v>
      </c>
      <c r="F798">
        <v>75</v>
      </c>
      <c r="G798" t="b">
        <v>1</v>
      </c>
      <c r="H798">
        <v>693</v>
      </c>
      <c r="J798" s="193" t="s">
        <v>269</v>
      </c>
      <c r="K798" s="188">
        <f>IFERROR(_xlfn.XLOOKUP(A798,[1]Fleet!A:A,[1]Fleet!E:E,""),"")</f>
        <v>18</v>
      </c>
      <c r="L798" s="188">
        <v>2.7</v>
      </c>
      <c r="M798" s="188" t="s">
        <v>1243</v>
      </c>
      <c r="N798" s="188" t="s">
        <v>1196</v>
      </c>
      <c r="O798">
        <v>762</v>
      </c>
      <c r="P798">
        <f>_xlfn.XLOOKUP(A798,'[1]Classic Net to delete'!D:D,'[1]Classic Net to delete'!AA:AA,0)</f>
        <v>693</v>
      </c>
    </row>
    <row r="799" spans="1:16" x14ac:dyDescent="0.25">
      <c r="A799" t="s">
        <v>1193</v>
      </c>
      <c r="B799" t="s">
        <v>1194</v>
      </c>
      <c r="C799">
        <v>15.46</v>
      </c>
      <c r="D799" t="s">
        <v>1176</v>
      </c>
      <c r="E799" t="str">
        <f>CONCATENATE(J799,". ",N799)</f>
        <v>04. Extensions and Distribution</v>
      </c>
      <c r="F799">
        <v>75</v>
      </c>
      <c r="G799" t="b">
        <v>1</v>
      </c>
      <c r="H799">
        <v>696</v>
      </c>
      <c r="J799" s="193" t="s">
        <v>269</v>
      </c>
      <c r="K799" s="188">
        <f>IFERROR(_xlfn.XLOOKUP(A799,[1]Fleet!A:A,[1]Fleet!E:E,""),"")</f>
        <v>32</v>
      </c>
      <c r="L799" s="188">
        <v>14.450000000000001</v>
      </c>
      <c r="M799" s="188" t="s">
        <v>1195</v>
      </c>
      <c r="N799" s="188" t="s">
        <v>1196</v>
      </c>
      <c r="O799">
        <v>756</v>
      </c>
      <c r="P799">
        <f>_xlfn.XLOOKUP(A799,'[1]Classic Net to delete'!D:D,'[1]Classic Net to delete'!AA:AA,0)</f>
        <v>696</v>
      </c>
    </row>
    <row r="800" spans="1:16" x14ac:dyDescent="0.25">
      <c r="A800" t="s">
        <v>1197</v>
      </c>
      <c r="B800" t="s">
        <v>1198</v>
      </c>
      <c r="C800">
        <v>35.36</v>
      </c>
      <c r="D800" t="s">
        <v>1176</v>
      </c>
      <c r="E800" t="str">
        <f>CONCATENATE(J800,". ",N800)</f>
        <v>04. Extensions and Distribution</v>
      </c>
      <c r="F800">
        <v>75</v>
      </c>
      <c r="G800" t="b">
        <v>1</v>
      </c>
      <c r="H800">
        <v>697</v>
      </c>
      <c r="J800" s="193" t="s">
        <v>269</v>
      </c>
      <c r="K800" s="188">
        <f>IFERROR(_xlfn.XLOOKUP(A800,[1]Fleet!A:A,[1]Fleet!E:E,""),"")</f>
        <v>16</v>
      </c>
      <c r="L800" s="188">
        <v>33.050000000000004</v>
      </c>
      <c r="M800" s="188" t="s">
        <v>1199</v>
      </c>
      <c r="N800" s="188" t="s">
        <v>1196</v>
      </c>
      <c r="O800">
        <v>757</v>
      </c>
      <c r="P800">
        <f>_xlfn.XLOOKUP(A800,'[1]Classic Net to delete'!D:D,'[1]Classic Net to delete'!AA:AA,0)</f>
        <v>697</v>
      </c>
    </row>
    <row r="801" spans="1:16" x14ac:dyDescent="0.25">
      <c r="A801" t="s">
        <v>1200</v>
      </c>
      <c r="B801" t="s">
        <v>1201</v>
      </c>
      <c r="C801">
        <v>35.36</v>
      </c>
      <c r="D801" t="s">
        <v>1176</v>
      </c>
      <c r="E801" t="str">
        <f>CONCATENATE(J801,". ",N801)</f>
        <v>04. Extensions and Distribution</v>
      </c>
      <c r="F801">
        <v>75</v>
      </c>
      <c r="G801" t="b">
        <v>1</v>
      </c>
      <c r="H801">
        <v>698</v>
      </c>
      <c r="J801" s="193" t="s">
        <v>269</v>
      </c>
      <c r="K801" s="188">
        <f>IFERROR(_xlfn.XLOOKUP(A801,[1]Fleet!A:A,[1]Fleet!E:E,""),"")</f>
        <v>11</v>
      </c>
      <c r="L801" s="188">
        <v>33.050000000000004</v>
      </c>
      <c r="M801" s="188" t="s">
        <v>1202</v>
      </c>
      <c r="N801" s="188" t="s">
        <v>1196</v>
      </c>
      <c r="O801">
        <v>758</v>
      </c>
      <c r="P801">
        <f>_xlfn.XLOOKUP(A801,'[1]Classic Net to delete'!D:D,'[1]Classic Net to delete'!AA:AA,0)</f>
        <v>698</v>
      </c>
    </row>
    <row r="802" spans="1:16" x14ac:dyDescent="0.25">
      <c r="A802" t="s">
        <v>1203</v>
      </c>
      <c r="B802" t="s">
        <v>1204</v>
      </c>
      <c r="C802">
        <v>38.200000000000003</v>
      </c>
      <c r="D802" t="s">
        <v>1176</v>
      </c>
      <c r="E802" t="str">
        <f>CONCATENATE(J802,". ",N802)</f>
        <v>04. Extensions and Distribution</v>
      </c>
      <c r="F802">
        <v>75</v>
      </c>
      <c r="G802" t="b">
        <v>1</v>
      </c>
      <c r="H802">
        <v>699</v>
      </c>
      <c r="J802" s="193" t="s">
        <v>269</v>
      </c>
      <c r="K802" s="188">
        <f>IFERROR(_xlfn.XLOOKUP(A802,[1]Fleet!A:A,[1]Fleet!E:E,""),"")</f>
        <v>10</v>
      </c>
      <c r="L802" s="188">
        <v>35.700000000000003</v>
      </c>
      <c r="M802" s="188" t="s">
        <v>1205</v>
      </c>
      <c r="N802" s="188" t="s">
        <v>1196</v>
      </c>
      <c r="O802">
        <v>759</v>
      </c>
      <c r="P802">
        <f>_xlfn.XLOOKUP(A802,'[1]Classic Net to delete'!D:D,'[1]Classic Net to delete'!AA:AA,0)</f>
        <v>699</v>
      </c>
    </row>
    <row r="803" spans="1:16" x14ac:dyDescent="0.25">
      <c r="A803" t="s">
        <v>1232</v>
      </c>
      <c r="B803" t="s">
        <v>1233</v>
      </c>
      <c r="C803">
        <v>0</v>
      </c>
      <c r="D803" t="s">
        <v>1176</v>
      </c>
      <c r="E803" t="str">
        <f>CONCATENATE(J803,". ",N803)</f>
        <v>04. Extensions and Distribution</v>
      </c>
      <c r="F803">
        <v>75</v>
      </c>
      <c r="G803" t="b">
        <v>0</v>
      </c>
      <c r="H803">
        <v>700</v>
      </c>
      <c r="J803" s="193" t="s">
        <v>269</v>
      </c>
      <c r="K803" s="188">
        <f>IFERROR(_xlfn.XLOOKUP(A803,[1]Fleet!A:A,[1]Fleet!E:E,""),"")</f>
        <v>0</v>
      </c>
      <c r="L803" s="188">
        <v>33.050000000000004</v>
      </c>
      <c r="M803" s="188" t="s">
        <v>1234</v>
      </c>
      <c r="N803" s="188" t="s">
        <v>1196</v>
      </c>
      <c r="O803">
        <v>755</v>
      </c>
      <c r="P803">
        <f>_xlfn.XLOOKUP(A803,'[1]Classic Net to delete'!D:D,'[1]Classic Net to delete'!AA:AA,0)</f>
        <v>700</v>
      </c>
    </row>
    <row r="804" spans="1:16" x14ac:dyDescent="0.25">
      <c r="A804" t="s">
        <v>1162</v>
      </c>
      <c r="B804" t="s">
        <v>1163</v>
      </c>
      <c r="C804">
        <v>87.63</v>
      </c>
      <c r="D804" t="s">
        <v>1150</v>
      </c>
      <c r="E804" t="str">
        <f>CONCATENATE(J804,". ",N804)</f>
        <v>. Pumping</v>
      </c>
      <c r="F804">
        <v>75</v>
      </c>
      <c r="G804" t="b">
        <v>0</v>
      </c>
      <c r="H804">
        <v>0</v>
      </c>
      <c r="K804" s="188">
        <f>IFERROR(_xlfn.XLOOKUP(A804,[1]Fleet!A:A,[1]Fleet!E:E,""),"")</f>
        <v>17</v>
      </c>
      <c r="L804" s="188" t="s">
        <v>76</v>
      </c>
      <c r="M804" s="188" t="s">
        <v>76</v>
      </c>
      <c r="N804" s="188" t="s">
        <v>1152</v>
      </c>
      <c r="O804">
        <v>810</v>
      </c>
      <c r="P804">
        <f>_xlfn.XLOOKUP(A804,'[1]Classic Net to delete'!D:D,'[1]Classic Net to delete'!AA:AA,0)</f>
        <v>0</v>
      </c>
    </row>
    <row r="805" spans="1:16" x14ac:dyDescent="0.25">
      <c r="A805" t="s">
        <v>1164</v>
      </c>
      <c r="B805" t="s">
        <v>1165</v>
      </c>
      <c r="C805">
        <v>103.47</v>
      </c>
      <c r="D805" t="s">
        <v>1150</v>
      </c>
      <c r="E805" t="str">
        <f>CONCATENATE(J805,". ",N805)</f>
        <v>. Pumping</v>
      </c>
      <c r="F805">
        <v>75</v>
      </c>
      <c r="G805" t="b">
        <v>0</v>
      </c>
      <c r="H805">
        <v>0</v>
      </c>
      <c r="K805" s="188">
        <f>IFERROR(_xlfn.XLOOKUP(A805,[1]Fleet!A:A,[1]Fleet!E:E,""),"")</f>
        <v>1</v>
      </c>
      <c r="L805" s="188" t="s">
        <v>76</v>
      </c>
      <c r="M805" s="188" t="s">
        <v>76</v>
      </c>
      <c r="N805" s="188" t="s">
        <v>1152</v>
      </c>
      <c r="O805">
        <v>805</v>
      </c>
      <c r="P805">
        <f>_xlfn.XLOOKUP(A805,'[1]Classic Net to delete'!D:D,'[1]Classic Net to delete'!AA:AA,0)</f>
        <v>0</v>
      </c>
    </row>
    <row r="806" spans="1:16" x14ac:dyDescent="0.25">
      <c r="A806" t="s">
        <v>1172</v>
      </c>
      <c r="B806" t="s">
        <v>1173</v>
      </c>
      <c r="C806">
        <v>56.76</v>
      </c>
      <c r="D806" t="s">
        <v>1150</v>
      </c>
      <c r="E806" t="str">
        <f>CONCATENATE(J806,". ",N806)</f>
        <v>. Pumping</v>
      </c>
      <c r="F806">
        <v>75</v>
      </c>
      <c r="G806" t="b">
        <v>0</v>
      </c>
      <c r="H806">
        <v>0</v>
      </c>
      <c r="K806" s="188">
        <f>IFERROR(_xlfn.XLOOKUP(A806,[1]Fleet!A:A,[1]Fleet!E:E,""),"")</f>
        <v>1</v>
      </c>
      <c r="L806" s="188" t="s">
        <v>76</v>
      </c>
      <c r="M806" s="188" t="s">
        <v>76</v>
      </c>
      <c r="N806" s="188" t="s">
        <v>1152</v>
      </c>
      <c r="O806">
        <v>809</v>
      </c>
      <c r="P806">
        <f>_xlfn.XLOOKUP(A806,'[1]Classic Net to delete'!D:D,'[1]Classic Net to delete'!AA:AA,0)</f>
        <v>0</v>
      </c>
    </row>
    <row r="807" spans="1:16" x14ac:dyDescent="0.25">
      <c r="A807" t="s">
        <v>1169</v>
      </c>
      <c r="B807" t="s">
        <v>1170</v>
      </c>
      <c r="C807">
        <v>69.39</v>
      </c>
      <c r="D807" t="s">
        <v>1150</v>
      </c>
      <c r="E807" t="str">
        <f>CONCATENATE(J807,". ",N807)</f>
        <v>01. Pumping</v>
      </c>
      <c r="F807">
        <v>75</v>
      </c>
      <c r="G807" t="b">
        <v>1</v>
      </c>
      <c r="H807">
        <v>647</v>
      </c>
      <c r="J807" s="193" t="s">
        <v>20</v>
      </c>
      <c r="K807" s="188">
        <f>IFERROR(_xlfn.XLOOKUP(A807,[1]Fleet!A:A,[1]Fleet!E:E,""),"")</f>
        <v>2</v>
      </c>
      <c r="L807" s="188">
        <v>64.850000000000009</v>
      </c>
      <c r="M807" s="188" t="s">
        <v>1171</v>
      </c>
      <c r="N807" s="188" t="s">
        <v>1152</v>
      </c>
      <c r="O807">
        <v>807</v>
      </c>
      <c r="P807">
        <f>_xlfn.XLOOKUP(A807,'[1]Classic Net to delete'!D:D,'[1]Classic Net to delete'!AA:AA,0)</f>
        <v>647</v>
      </c>
    </row>
    <row r="808" spans="1:16" x14ac:dyDescent="0.25">
      <c r="A808" t="s">
        <v>1156</v>
      </c>
      <c r="B808" t="s">
        <v>1157</v>
      </c>
      <c r="C808">
        <v>69.39</v>
      </c>
      <c r="D808" t="s">
        <v>1150</v>
      </c>
      <c r="E808" t="str">
        <f>CONCATENATE(J808,". ",N808)</f>
        <v>01. Pumping</v>
      </c>
      <c r="F808">
        <v>75</v>
      </c>
      <c r="G808" t="b">
        <v>1</v>
      </c>
      <c r="H808">
        <v>648</v>
      </c>
      <c r="J808" s="193" t="s">
        <v>20</v>
      </c>
      <c r="K808" s="188">
        <f>IFERROR(_xlfn.XLOOKUP(A808,[1]Fleet!A:A,[1]Fleet!E:E,""),"")</f>
        <v>93</v>
      </c>
      <c r="L808" s="188">
        <v>64.850000000000009</v>
      </c>
      <c r="M808" s="188" t="s">
        <v>1158</v>
      </c>
      <c r="N808" s="188" t="s">
        <v>1152</v>
      </c>
      <c r="O808">
        <v>803</v>
      </c>
      <c r="P808">
        <f>_xlfn.XLOOKUP(A808,'[1]Classic Net to delete'!D:D,'[1]Classic Net to delete'!AA:AA,0)</f>
        <v>648</v>
      </c>
    </row>
    <row r="809" spans="1:16" x14ac:dyDescent="0.25">
      <c r="A809" t="s">
        <v>1159</v>
      </c>
      <c r="B809" t="s">
        <v>1160</v>
      </c>
      <c r="C809">
        <v>79.180000000000007</v>
      </c>
      <c r="D809" t="s">
        <v>1150</v>
      </c>
      <c r="E809" t="str">
        <f>CONCATENATE(J809,". ",N809)</f>
        <v>01. Pumping</v>
      </c>
      <c r="F809">
        <v>75</v>
      </c>
      <c r="G809" t="b">
        <v>1</v>
      </c>
      <c r="H809">
        <v>650</v>
      </c>
      <c r="J809" s="193" t="s">
        <v>20</v>
      </c>
      <c r="K809" s="188">
        <f>IFERROR(_xlfn.XLOOKUP(A809,[1]Fleet!A:A,[1]Fleet!E:E,""),"")</f>
        <v>63</v>
      </c>
      <c r="L809" s="188">
        <v>74</v>
      </c>
      <c r="M809" s="188" t="s">
        <v>1161</v>
      </c>
      <c r="N809" s="188" t="s">
        <v>1152</v>
      </c>
      <c r="O809">
        <v>804</v>
      </c>
      <c r="P809">
        <f>_xlfn.XLOOKUP(A809,'[1]Classic Net to delete'!D:D,'[1]Classic Net to delete'!AA:AA,0)</f>
        <v>650</v>
      </c>
    </row>
    <row r="810" spans="1:16" x14ac:dyDescent="0.25">
      <c r="A810" t="s">
        <v>1148</v>
      </c>
      <c r="B810" t="s">
        <v>1149</v>
      </c>
      <c r="C810">
        <v>66.61</v>
      </c>
      <c r="D810" t="s">
        <v>1150</v>
      </c>
      <c r="E810" t="str">
        <f>CONCATENATE(J810,". ",N810)</f>
        <v>01. Pumping</v>
      </c>
      <c r="F810">
        <v>75</v>
      </c>
      <c r="G810" t="b">
        <v>1</v>
      </c>
      <c r="H810">
        <v>653</v>
      </c>
      <c r="J810" s="193" t="s">
        <v>20</v>
      </c>
      <c r="K810" s="188">
        <f>IFERROR(_xlfn.XLOOKUP(A810,[1]Fleet!A:A,[1]Fleet!E:E,""),"")</f>
        <v>4</v>
      </c>
      <c r="L810" s="188">
        <v>62.25</v>
      </c>
      <c r="M810" s="188" t="s">
        <v>1151</v>
      </c>
      <c r="N810" s="188" t="s">
        <v>1152</v>
      </c>
      <c r="O810">
        <v>802</v>
      </c>
      <c r="P810">
        <f>_xlfn.XLOOKUP(A810,'[1]Classic Net to delete'!D:D,'[1]Classic Net to delete'!AA:AA,0)</f>
        <v>653</v>
      </c>
    </row>
    <row r="811" spans="1:16" x14ac:dyDescent="0.25">
      <c r="A811" t="s">
        <v>1153</v>
      </c>
      <c r="B811" t="s">
        <v>1154</v>
      </c>
      <c r="C811">
        <v>152.54</v>
      </c>
      <c r="D811" t="s">
        <v>1150</v>
      </c>
      <c r="E811" t="str">
        <f>CONCATENATE(J811,". ",N811)</f>
        <v>01. Pumping</v>
      </c>
      <c r="F811">
        <v>75</v>
      </c>
      <c r="G811" t="b">
        <v>1</v>
      </c>
      <c r="H811">
        <v>654</v>
      </c>
      <c r="J811" s="193" t="s">
        <v>20</v>
      </c>
      <c r="K811" s="188">
        <f>IFERROR(_xlfn.XLOOKUP(A811,[1]Fleet!A:A,[1]Fleet!E:E,""),"")</f>
        <v>4</v>
      </c>
      <c r="L811" s="188">
        <v>136.20000000000002</v>
      </c>
      <c r="M811" s="188" t="s">
        <v>1155</v>
      </c>
      <c r="N811" s="188" t="s">
        <v>1152</v>
      </c>
      <c r="O811">
        <v>808</v>
      </c>
      <c r="P811">
        <f>_xlfn.XLOOKUP(A811,'[1]Classic Net to delete'!D:D,'[1]Classic Net to delete'!AA:AA,0)</f>
        <v>654</v>
      </c>
    </row>
    <row r="812" spans="1:16" x14ac:dyDescent="0.25">
      <c r="A812" t="s">
        <v>1166</v>
      </c>
      <c r="B812" t="s">
        <v>1167</v>
      </c>
      <c r="C812">
        <v>160.44</v>
      </c>
      <c r="D812" t="s">
        <v>1150</v>
      </c>
      <c r="E812" t="str">
        <f>CONCATENATE(J812,". ",N812)</f>
        <v>01. Pumping</v>
      </c>
      <c r="F812">
        <v>75</v>
      </c>
      <c r="G812" t="b">
        <v>1</v>
      </c>
      <c r="H812">
        <v>657</v>
      </c>
      <c r="J812" s="193" t="s">
        <v>20</v>
      </c>
      <c r="K812" s="188">
        <f>IFERROR(_xlfn.XLOOKUP(A812,[1]Fleet!A:A,[1]Fleet!E:E,""),"")</f>
        <v>6</v>
      </c>
      <c r="L812" s="188">
        <v>143.25</v>
      </c>
      <c r="M812" s="188" t="s">
        <v>1168</v>
      </c>
      <c r="N812" s="188" t="s">
        <v>1152</v>
      </c>
      <c r="O812">
        <v>806</v>
      </c>
      <c r="P812">
        <f>_xlfn.XLOOKUP(A812,'[1]Classic Net to delete'!D:D,'[1]Classic Net to delete'!AA:AA,0)</f>
        <v>657</v>
      </c>
    </row>
    <row r="813" spans="1:16" x14ac:dyDescent="0.25">
      <c r="A813" t="s">
        <v>2311</v>
      </c>
      <c r="B813" t="s">
        <v>2312</v>
      </c>
      <c r="C813">
        <v>18.62</v>
      </c>
      <c r="D813" t="s">
        <v>1150</v>
      </c>
      <c r="E813" t="str">
        <f>CONCATENATE(J813,". ",N813)</f>
        <v>01. Pumping</v>
      </c>
      <c r="F813">
        <v>75</v>
      </c>
      <c r="G813" t="b">
        <v>1</v>
      </c>
      <c r="H813">
        <v>660</v>
      </c>
      <c r="J813" s="193" t="s">
        <v>20</v>
      </c>
      <c r="K813" s="188" t="str">
        <f>IFERROR(_xlfn.XLOOKUP(A813,[1]Fleet!A:A,[1]Fleet!E:E,""),"")</f>
        <v/>
      </c>
      <c r="L813" s="188">
        <v>17.400000000000002</v>
      </c>
      <c r="M813" s="188" t="s">
        <v>2313</v>
      </c>
      <c r="N813" s="188" t="s">
        <v>1152</v>
      </c>
      <c r="O813">
        <v>801</v>
      </c>
      <c r="P813">
        <f>_xlfn.XLOOKUP(A813,'[1]Classic Net to delete'!D:D,'[1]Classic Net to delete'!AA:AA,0)</f>
        <v>660</v>
      </c>
    </row>
    <row r="814" spans="1:16" x14ac:dyDescent="0.25">
      <c r="A814" t="s">
        <v>2550</v>
      </c>
      <c r="B814" t="s">
        <v>2551</v>
      </c>
      <c r="C814">
        <v>8.61</v>
      </c>
      <c r="D814" t="s">
        <v>2508</v>
      </c>
      <c r="E814" t="str">
        <f>CONCATENATE(J814,". ",N814)</f>
        <v>01. Road Cones, Lamps and Signs</v>
      </c>
      <c r="F814">
        <v>75</v>
      </c>
      <c r="G814" t="b">
        <v>1</v>
      </c>
      <c r="H814">
        <v>901</v>
      </c>
      <c r="J814" s="193" t="s">
        <v>20</v>
      </c>
      <c r="K814" s="188" t="str">
        <f>IFERROR(_xlfn.XLOOKUP(A814,[1]Fleet!A:A,[1]Fleet!E:E,""),"")</f>
        <v/>
      </c>
      <c r="L814" s="188">
        <v>8.0500000000000007</v>
      </c>
      <c r="M814" s="188" t="s">
        <v>2551</v>
      </c>
      <c r="N814" s="188" t="s">
        <v>2552</v>
      </c>
      <c r="O814">
        <v>827</v>
      </c>
      <c r="P814">
        <f>_xlfn.XLOOKUP(A814,'[1]Classic Net to delete'!D:D,'[1]Classic Net to delete'!AA:AA,0)</f>
        <v>901</v>
      </c>
    </row>
    <row r="815" spans="1:16" x14ac:dyDescent="0.25">
      <c r="A815" t="s">
        <v>2555</v>
      </c>
      <c r="B815" t="s">
        <v>2556</v>
      </c>
      <c r="C815">
        <v>3.8000000000000003</v>
      </c>
      <c r="D815" t="s">
        <v>2508</v>
      </c>
      <c r="E815" t="str">
        <f>CONCATENATE(J815,". ",N815)</f>
        <v>01. Road Cones, Lamps and Signs</v>
      </c>
      <c r="F815">
        <v>75</v>
      </c>
      <c r="G815" t="b">
        <v>1</v>
      </c>
      <c r="H815">
        <v>903</v>
      </c>
      <c r="J815" s="193" t="s">
        <v>20</v>
      </c>
      <c r="K815" s="188" t="str">
        <f>IFERROR(_xlfn.XLOOKUP(A815,[1]Fleet!A:A,[1]Fleet!E:E,""),"")</f>
        <v/>
      </c>
      <c r="L815" s="188">
        <v>3.5500000000000003</v>
      </c>
      <c r="M815" s="188" t="s">
        <v>2556</v>
      </c>
      <c r="N815" s="188" t="s">
        <v>2552</v>
      </c>
      <c r="O815">
        <v>826</v>
      </c>
      <c r="P815">
        <f>_xlfn.XLOOKUP(A815,'[1]Classic Net to delete'!D:D,'[1]Classic Net to delete'!AA:AA,0)</f>
        <v>903</v>
      </c>
    </row>
    <row r="816" spans="1:16" x14ac:dyDescent="0.25">
      <c r="A816" t="s">
        <v>2557</v>
      </c>
      <c r="B816" t="s">
        <v>2558</v>
      </c>
      <c r="C816">
        <v>4.4400000000000004</v>
      </c>
      <c r="D816" t="s">
        <v>2508</v>
      </c>
      <c r="E816" t="str">
        <f>CONCATENATE(J816,". ",N816)</f>
        <v>01. Road Cones, Lamps and Signs</v>
      </c>
      <c r="F816">
        <v>75</v>
      </c>
      <c r="G816" t="b">
        <v>1</v>
      </c>
      <c r="H816">
        <v>904</v>
      </c>
      <c r="J816" s="193" t="s">
        <v>20</v>
      </c>
      <c r="K816" s="188" t="str">
        <f>IFERROR(_xlfn.XLOOKUP(A816,[1]Fleet!A:A,[1]Fleet!E:E,""),"")</f>
        <v/>
      </c>
      <c r="L816" s="188">
        <v>4.1500000000000004</v>
      </c>
      <c r="M816" s="188" t="s">
        <v>2558</v>
      </c>
      <c r="N816" s="188" t="s">
        <v>2552</v>
      </c>
      <c r="O816">
        <v>825</v>
      </c>
      <c r="P816">
        <f>_xlfn.XLOOKUP(A816,'[1]Classic Net to delete'!D:D,'[1]Classic Net to delete'!AA:AA,0)</f>
        <v>904</v>
      </c>
    </row>
    <row r="817" spans="1:16" x14ac:dyDescent="0.25">
      <c r="A817" t="s">
        <v>2563</v>
      </c>
      <c r="B817" t="s">
        <v>2564</v>
      </c>
      <c r="C817">
        <v>4.4400000000000004</v>
      </c>
      <c r="D817" t="s">
        <v>2508</v>
      </c>
      <c r="E817" t="str">
        <f>CONCATENATE(J817,". ",N817)</f>
        <v>01. Road Cones, Lamps and Signs</v>
      </c>
      <c r="F817">
        <v>75</v>
      </c>
      <c r="G817" t="b">
        <v>1</v>
      </c>
      <c r="H817">
        <v>905</v>
      </c>
      <c r="J817" s="193" t="s">
        <v>20</v>
      </c>
      <c r="K817" s="188" t="str">
        <f>IFERROR(_xlfn.XLOOKUP(A817,[1]Fleet!A:A,[1]Fleet!E:E,""),"")</f>
        <v/>
      </c>
      <c r="L817" s="188">
        <v>4.1500000000000004</v>
      </c>
      <c r="M817" s="188" t="s">
        <v>2564</v>
      </c>
      <c r="N817" s="188" t="s">
        <v>2552</v>
      </c>
      <c r="O817">
        <v>822</v>
      </c>
      <c r="P817">
        <f>_xlfn.XLOOKUP(A817,'[1]Classic Net to delete'!D:D,'[1]Classic Net to delete'!AA:AA,0)</f>
        <v>905</v>
      </c>
    </row>
    <row r="818" spans="1:16" x14ac:dyDescent="0.25">
      <c r="A818" t="s">
        <v>2561</v>
      </c>
      <c r="B818" t="s">
        <v>2562</v>
      </c>
      <c r="C818">
        <v>8.61</v>
      </c>
      <c r="D818" t="s">
        <v>2508</v>
      </c>
      <c r="E818" t="str">
        <f>CONCATENATE(J818,". ",N818)</f>
        <v>01. Road Cones, Lamps and Signs</v>
      </c>
      <c r="F818">
        <v>75</v>
      </c>
      <c r="G818" t="b">
        <v>1</v>
      </c>
      <c r="H818">
        <v>906</v>
      </c>
      <c r="J818" s="193" t="s">
        <v>20</v>
      </c>
      <c r="K818" s="188" t="str">
        <f>IFERROR(_xlfn.XLOOKUP(A818,[1]Fleet!A:A,[1]Fleet!E:E,""),"")</f>
        <v/>
      </c>
      <c r="L818" s="188">
        <v>8.0500000000000007</v>
      </c>
      <c r="M818" s="188" t="s">
        <v>2562</v>
      </c>
      <c r="N818" s="188" t="s">
        <v>2552</v>
      </c>
      <c r="O818">
        <v>823</v>
      </c>
      <c r="P818">
        <f>_xlfn.XLOOKUP(A818,'[1]Classic Net to delete'!D:D,'[1]Classic Net to delete'!AA:AA,0)</f>
        <v>906</v>
      </c>
    </row>
    <row r="819" spans="1:16" x14ac:dyDescent="0.25">
      <c r="A819" t="s">
        <v>2559</v>
      </c>
      <c r="B819" t="s">
        <v>2560</v>
      </c>
      <c r="C819">
        <v>2.89</v>
      </c>
      <c r="D819" t="s">
        <v>2508</v>
      </c>
      <c r="E819" t="str">
        <f>CONCATENATE(J819,". ",N819)</f>
        <v>01. Road Cones, Lamps and Signs</v>
      </c>
      <c r="F819">
        <v>75</v>
      </c>
      <c r="G819" t="b">
        <v>1</v>
      </c>
      <c r="H819">
        <v>907</v>
      </c>
      <c r="J819" s="193" t="s">
        <v>20</v>
      </c>
      <c r="K819" s="188" t="str">
        <f>IFERROR(_xlfn.XLOOKUP(A819,[1]Fleet!A:A,[1]Fleet!E:E,""),"")</f>
        <v/>
      </c>
      <c r="L819" s="188">
        <v>2.7</v>
      </c>
      <c r="M819" s="188" t="s">
        <v>2560</v>
      </c>
      <c r="N819" s="188" t="s">
        <v>2552</v>
      </c>
      <c r="O819">
        <v>824</v>
      </c>
      <c r="P819">
        <f>_xlfn.XLOOKUP(A819,'[1]Classic Net to delete'!D:D,'[1]Classic Net to delete'!AA:AA,0)</f>
        <v>907</v>
      </c>
    </row>
    <row r="820" spans="1:16" x14ac:dyDescent="0.25">
      <c r="A820" t="s">
        <v>2565</v>
      </c>
      <c r="B820" t="s">
        <v>2566</v>
      </c>
      <c r="C820">
        <v>5.72</v>
      </c>
      <c r="D820" t="s">
        <v>2508</v>
      </c>
      <c r="E820" t="str">
        <f>CONCATENATE(J820,". ",N820)</f>
        <v>01. Road Cones, Lamps and Signs</v>
      </c>
      <c r="F820">
        <v>75</v>
      </c>
      <c r="G820" t="b">
        <v>1</v>
      </c>
      <c r="H820">
        <v>923</v>
      </c>
      <c r="J820" s="193" t="s">
        <v>20</v>
      </c>
      <c r="K820" s="188" t="str">
        <f>IFERROR(_xlfn.XLOOKUP(A820,[1]Fleet!A:A,[1]Fleet!E:E,""),"")</f>
        <v/>
      </c>
      <c r="L820" s="188">
        <v>5.3500000000000005</v>
      </c>
      <c r="M820" s="188" t="s">
        <v>2567</v>
      </c>
      <c r="N820" s="188" t="s">
        <v>2552</v>
      </c>
      <c r="O820">
        <v>821</v>
      </c>
      <c r="P820">
        <f>_xlfn.XLOOKUP(A820,'[1]Classic Net to delete'!D:D,'[1]Classic Net to delete'!AA:AA,0)</f>
        <v>923</v>
      </c>
    </row>
    <row r="821" spans="1:16" x14ac:dyDescent="0.25">
      <c r="A821" t="s">
        <v>2568</v>
      </c>
      <c r="B821" t="s">
        <v>2569</v>
      </c>
      <c r="C821">
        <v>6.96</v>
      </c>
      <c r="D821" t="s">
        <v>2508</v>
      </c>
      <c r="E821" t="str">
        <f>CONCATENATE(J821,". ",N821)</f>
        <v>01. Road Cones, Lamps and Signs</v>
      </c>
      <c r="F821">
        <v>75</v>
      </c>
      <c r="G821" t="b">
        <v>1</v>
      </c>
      <c r="H821">
        <v>924</v>
      </c>
      <c r="J821" s="193" t="s">
        <v>20</v>
      </c>
      <c r="K821" s="188" t="str">
        <f>IFERROR(_xlfn.XLOOKUP(A821,[1]Fleet!A:A,[1]Fleet!E:E,""),"")</f>
        <v/>
      </c>
      <c r="L821" s="188">
        <v>6.5</v>
      </c>
      <c r="M821" s="188" t="s">
        <v>2570</v>
      </c>
      <c r="N821" s="188" t="s">
        <v>2552</v>
      </c>
      <c r="O821">
        <v>820</v>
      </c>
      <c r="P821">
        <f>_xlfn.XLOOKUP(A821,'[1]Classic Net to delete'!D:D,'[1]Classic Net to delete'!AA:AA,0)</f>
        <v>924</v>
      </c>
    </row>
    <row r="822" spans="1:16" x14ac:dyDescent="0.25">
      <c r="A822" t="s">
        <v>2571</v>
      </c>
      <c r="B822" t="s">
        <v>2572</v>
      </c>
      <c r="C822">
        <v>8.61</v>
      </c>
      <c r="D822" t="s">
        <v>2508</v>
      </c>
      <c r="E822" t="str">
        <f>CONCATENATE(J822,". ",N822)</f>
        <v>01. Road Cones, Lamps and Signs</v>
      </c>
      <c r="F822">
        <v>75</v>
      </c>
      <c r="G822" t="b">
        <v>1</v>
      </c>
      <c r="H822">
        <v>925</v>
      </c>
      <c r="J822" s="193" t="s">
        <v>20</v>
      </c>
      <c r="K822" s="188" t="str">
        <f>IFERROR(_xlfn.XLOOKUP(A822,[1]Fleet!A:A,[1]Fleet!E:E,""),"")</f>
        <v/>
      </c>
      <c r="L822" s="188">
        <v>8.0500000000000007</v>
      </c>
      <c r="M822" s="188" t="s">
        <v>2573</v>
      </c>
      <c r="N822" s="188" t="s">
        <v>2552</v>
      </c>
      <c r="O822">
        <v>819</v>
      </c>
      <c r="P822">
        <f>_xlfn.XLOOKUP(A822,'[1]Classic Net to delete'!D:D,'[1]Classic Net to delete'!AA:AA,0)</f>
        <v>925</v>
      </c>
    </row>
    <row r="823" spans="1:16" x14ac:dyDescent="0.25">
      <c r="A823" t="s">
        <v>2574</v>
      </c>
      <c r="B823" t="s">
        <v>2575</v>
      </c>
      <c r="C823">
        <v>14.23</v>
      </c>
      <c r="D823" t="s">
        <v>2508</v>
      </c>
      <c r="E823" t="str">
        <f>CONCATENATE(J823,". ",N823)</f>
        <v>01. Road Cones, Lamps and Signs</v>
      </c>
      <c r="F823">
        <v>75</v>
      </c>
      <c r="G823" t="b">
        <v>1</v>
      </c>
      <c r="H823">
        <v>926</v>
      </c>
      <c r="J823" s="193" t="s">
        <v>20</v>
      </c>
      <c r="K823" s="188" t="str">
        <f>IFERROR(_xlfn.XLOOKUP(A823,[1]Fleet!A:A,[1]Fleet!E:E,""),"")</f>
        <v/>
      </c>
      <c r="L823" s="188">
        <v>13.3</v>
      </c>
      <c r="M823" s="188" t="s">
        <v>2576</v>
      </c>
      <c r="N823" s="188" t="s">
        <v>2552</v>
      </c>
      <c r="O823">
        <v>818</v>
      </c>
      <c r="P823">
        <f>_xlfn.XLOOKUP(A823,'[1]Classic Net to delete'!D:D,'[1]Classic Net to delete'!AA:AA,0)</f>
        <v>926</v>
      </c>
    </row>
    <row r="824" spans="1:16" x14ac:dyDescent="0.25">
      <c r="A824" t="s">
        <v>2577</v>
      </c>
      <c r="B824" t="s">
        <v>2578</v>
      </c>
      <c r="C824">
        <v>14.23</v>
      </c>
      <c r="D824" t="s">
        <v>2508</v>
      </c>
      <c r="E824" t="str">
        <f>CONCATENATE(J824,". ",N824)</f>
        <v>01. Road Cones, Lamps and Signs</v>
      </c>
      <c r="F824">
        <v>75</v>
      </c>
      <c r="G824" t="b">
        <v>1</v>
      </c>
      <c r="H824">
        <v>927</v>
      </c>
      <c r="J824" s="193" t="s">
        <v>20</v>
      </c>
      <c r="K824" s="188" t="str">
        <f>IFERROR(_xlfn.XLOOKUP(A824,[1]Fleet!A:A,[1]Fleet!E:E,""),"")</f>
        <v/>
      </c>
      <c r="L824" s="188">
        <v>13.3</v>
      </c>
      <c r="M824" s="188" t="s">
        <v>2579</v>
      </c>
      <c r="N824" s="188" t="s">
        <v>2552</v>
      </c>
      <c r="O824">
        <v>817</v>
      </c>
      <c r="P824">
        <f>_xlfn.XLOOKUP(A824,'[1]Classic Net to delete'!D:D,'[1]Classic Net to delete'!AA:AA,0)</f>
        <v>927</v>
      </c>
    </row>
    <row r="825" spans="1:16" x14ac:dyDescent="0.25">
      <c r="A825" t="s">
        <v>2582</v>
      </c>
      <c r="B825" t="s">
        <v>2583</v>
      </c>
      <c r="C825">
        <v>14.23</v>
      </c>
      <c r="D825" t="s">
        <v>2508</v>
      </c>
      <c r="E825" t="str">
        <f>CONCATENATE(J825,". ",N825)</f>
        <v>02. Safety Barriers and Trench Covers</v>
      </c>
      <c r="F825">
        <v>75</v>
      </c>
      <c r="G825" t="b">
        <v>1</v>
      </c>
      <c r="H825">
        <v>910</v>
      </c>
      <c r="J825" s="193" t="s">
        <v>189</v>
      </c>
      <c r="K825" s="188" t="str">
        <f>IFERROR(_xlfn.XLOOKUP(A825,[1]Fleet!A:A,[1]Fleet!E:E,""),"")</f>
        <v/>
      </c>
      <c r="L825" s="188">
        <v>13.3</v>
      </c>
      <c r="M825" s="188" t="s">
        <v>2584</v>
      </c>
      <c r="N825" s="188" t="s">
        <v>2585</v>
      </c>
      <c r="O825">
        <v>834</v>
      </c>
      <c r="P825">
        <f>_xlfn.XLOOKUP(A825,'[1]Classic Net to delete'!D:D,'[1]Classic Net to delete'!AA:AA,0)</f>
        <v>910</v>
      </c>
    </row>
    <row r="826" spans="1:16" x14ac:dyDescent="0.25">
      <c r="A826" t="s">
        <v>2610</v>
      </c>
      <c r="B826" t="s">
        <v>2611</v>
      </c>
      <c r="C826">
        <v>30.330000000000002</v>
      </c>
      <c r="D826" t="s">
        <v>2508</v>
      </c>
      <c r="E826" t="str">
        <f>CONCATENATE(J826,". ",N826)</f>
        <v>02. Safety Barriers and Trench Covers</v>
      </c>
      <c r="F826">
        <v>75</v>
      </c>
      <c r="G826" t="b">
        <v>1</v>
      </c>
      <c r="H826">
        <v>911</v>
      </c>
      <c r="J826" s="193" t="s">
        <v>189</v>
      </c>
      <c r="K826" s="188" t="str">
        <f>IFERROR(_xlfn.XLOOKUP(A826,[1]Fleet!A:A,[1]Fleet!E:E,""),"")</f>
        <v/>
      </c>
      <c r="L826" s="188">
        <v>28.35</v>
      </c>
      <c r="M826" s="188" t="s">
        <v>2611</v>
      </c>
      <c r="N826" s="188" t="s">
        <v>2585</v>
      </c>
      <c r="O826">
        <v>828</v>
      </c>
      <c r="P826">
        <f>_xlfn.XLOOKUP(A826,'[1]Classic Net to delete'!D:D,'[1]Classic Net to delete'!AA:AA,0)</f>
        <v>911</v>
      </c>
    </row>
    <row r="827" spans="1:16" x14ac:dyDescent="0.25">
      <c r="A827" t="s">
        <v>2590</v>
      </c>
      <c r="B827" t="s">
        <v>2591</v>
      </c>
      <c r="C827">
        <v>10.75</v>
      </c>
      <c r="D827" t="s">
        <v>2508</v>
      </c>
      <c r="E827" t="str">
        <f>CONCATENATE(J827,". ",N827)</f>
        <v>02. Safety Barriers and Trench Covers</v>
      </c>
      <c r="F827">
        <v>75</v>
      </c>
      <c r="G827" t="b">
        <v>1</v>
      </c>
      <c r="H827">
        <v>912</v>
      </c>
      <c r="J827" s="193" t="s">
        <v>189</v>
      </c>
      <c r="K827" s="188" t="str">
        <f>IFERROR(_xlfn.XLOOKUP(A827,[1]Fleet!A:A,[1]Fleet!E:E,""),"")</f>
        <v/>
      </c>
      <c r="L827" s="188">
        <v>10.050000000000001</v>
      </c>
      <c r="M827" s="188" t="s">
        <v>2592</v>
      </c>
      <c r="N827" s="188" t="s">
        <v>2585</v>
      </c>
      <c r="O827">
        <v>833</v>
      </c>
      <c r="P827">
        <f>_xlfn.XLOOKUP(A827,'[1]Classic Net to delete'!D:D,'[1]Classic Net to delete'!AA:AA,0)</f>
        <v>912</v>
      </c>
    </row>
    <row r="828" spans="1:16" x14ac:dyDescent="0.25">
      <c r="A828" t="s">
        <v>2595</v>
      </c>
      <c r="B828" t="s">
        <v>2596</v>
      </c>
      <c r="C828">
        <v>2.89</v>
      </c>
      <c r="D828" t="s">
        <v>2508</v>
      </c>
      <c r="E828" t="str">
        <f>CONCATENATE(J828,". ",N828)</f>
        <v>02. Safety Barriers and Trench Covers</v>
      </c>
      <c r="F828">
        <v>75</v>
      </c>
      <c r="G828" t="b">
        <v>1</v>
      </c>
      <c r="H828">
        <v>913</v>
      </c>
      <c r="J828" s="193" t="s">
        <v>189</v>
      </c>
      <c r="K828" s="188" t="str">
        <f>IFERROR(_xlfn.XLOOKUP(A828,[1]Fleet!A:A,[1]Fleet!E:E,""),"")</f>
        <v/>
      </c>
      <c r="L828" s="188">
        <v>2.7</v>
      </c>
      <c r="M828" s="188" t="s">
        <v>2596</v>
      </c>
      <c r="N828" s="188" t="s">
        <v>2585</v>
      </c>
      <c r="O828">
        <v>831</v>
      </c>
      <c r="P828">
        <f>_xlfn.XLOOKUP(A828,'[1]Classic Net to delete'!D:D,'[1]Classic Net to delete'!AA:AA,0)</f>
        <v>913</v>
      </c>
    </row>
    <row r="829" spans="1:16" x14ac:dyDescent="0.25">
      <c r="A829" t="s">
        <v>2593</v>
      </c>
      <c r="B829" t="s">
        <v>2594</v>
      </c>
      <c r="C829">
        <v>2.89</v>
      </c>
      <c r="D829" t="s">
        <v>2508</v>
      </c>
      <c r="E829" t="str">
        <f>CONCATENATE(J829,". ",N829)</f>
        <v>02. Safety Barriers and Trench Covers</v>
      </c>
      <c r="F829">
        <v>75</v>
      </c>
      <c r="G829" t="b">
        <v>1</v>
      </c>
      <c r="H829">
        <v>914</v>
      </c>
      <c r="J829" s="193" t="s">
        <v>189</v>
      </c>
      <c r="K829" s="188" t="str">
        <f>IFERROR(_xlfn.XLOOKUP(A829,[1]Fleet!A:A,[1]Fleet!E:E,""),"")</f>
        <v/>
      </c>
      <c r="L829" s="188">
        <v>2.7</v>
      </c>
      <c r="M829" s="188" t="s">
        <v>2594</v>
      </c>
      <c r="N829" s="188" t="s">
        <v>2585</v>
      </c>
      <c r="O829">
        <v>832</v>
      </c>
      <c r="P829">
        <f>_xlfn.XLOOKUP(A829,'[1]Classic Net to delete'!D:D,'[1]Classic Net to delete'!AA:AA,0)</f>
        <v>914</v>
      </c>
    </row>
    <row r="830" spans="1:16" x14ac:dyDescent="0.25">
      <c r="A830" t="s">
        <v>2600</v>
      </c>
      <c r="B830" t="s">
        <v>2601</v>
      </c>
      <c r="C830">
        <v>15.46</v>
      </c>
      <c r="D830" t="s">
        <v>2508</v>
      </c>
      <c r="E830" t="str">
        <f>CONCATENATE(J830,". ",N830)</f>
        <v>02. Safety Barriers and Trench Covers</v>
      </c>
      <c r="F830">
        <v>75</v>
      </c>
      <c r="G830" t="b">
        <v>1</v>
      </c>
      <c r="H830">
        <v>919</v>
      </c>
      <c r="J830" s="193" t="s">
        <v>189</v>
      </c>
      <c r="K830" s="188" t="str">
        <f>IFERROR(_xlfn.XLOOKUP(A830,[1]Fleet!A:A,[1]Fleet!E:E,""),"")</f>
        <v/>
      </c>
      <c r="L830" s="188">
        <v>14.450000000000001</v>
      </c>
      <c r="M830" s="188" t="s">
        <v>2602</v>
      </c>
      <c r="N830" s="188" t="s">
        <v>2585</v>
      </c>
      <c r="O830">
        <v>830</v>
      </c>
      <c r="P830">
        <f>_xlfn.XLOOKUP(A830,'[1]Classic Net to delete'!D:D,'[1]Classic Net to delete'!AA:AA,0)</f>
        <v>919</v>
      </c>
    </row>
    <row r="831" spans="1:16" x14ac:dyDescent="0.25">
      <c r="A831" t="s">
        <v>2603</v>
      </c>
      <c r="B831" t="s">
        <v>2604</v>
      </c>
      <c r="C831">
        <v>15.46</v>
      </c>
      <c r="D831" t="s">
        <v>2508</v>
      </c>
      <c r="E831" t="str">
        <f>CONCATENATE(J831,". ",N831)</f>
        <v>02. Safety Barriers and Trench Covers</v>
      </c>
      <c r="F831">
        <v>75</v>
      </c>
      <c r="G831" t="b">
        <v>1</v>
      </c>
      <c r="H831">
        <v>920</v>
      </c>
      <c r="J831" s="193" t="s">
        <v>189</v>
      </c>
      <c r="K831" s="188" t="str">
        <f>IFERROR(_xlfn.XLOOKUP(A831,[1]Fleet!A:A,[1]Fleet!E:E,""),"")</f>
        <v/>
      </c>
      <c r="L831" s="188">
        <v>14.450000000000001</v>
      </c>
      <c r="M831" s="188" t="s">
        <v>2605</v>
      </c>
      <c r="N831" s="188" t="s">
        <v>2585</v>
      </c>
      <c r="O831">
        <v>829</v>
      </c>
      <c r="P831">
        <f>_xlfn.XLOOKUP(A831,'[1]Classic Net to delete'!D:D,'[1]Classic Net to delete'!AA:AA,0)</f>
        <v>920</v>
      </c>
    </row>
    <row r="832" spans="1:16" x14ac:dyDescent="0.25">
      <c r="A832" t="s">
        <v>2527</v>
      </c>
      <c r="B832" t="s">
        <v>2528</v>
      </c>
      <c r="C832">
        <v>12.950000000000001</v>
      </c>
      <c r="D832" t="s">
        <v>2508</v>
      </c>
      <c r="E832" t="str">
        <f>CONCATENATE(J832,". ",N832)</f>
        <v>03. General Tools</v>
      </c>
      <c r="F832">
        <v>75</v>
      </c>
      <c r="G832" t="b">
        <v>1</v>
      </c>
      <c r="H832">
        <v>936</v>
      </c>
      <c r="J832" s="193" t="s">
        <v>188</v>
      </c>
      <c r="K832" s="188" t="str">
        <f>IFERROR(_xlfn.XLOOKUP(A832,[1]Fleet!A:A,[1]Fleet!E:E,""),"")</f>
        <v/>
      </c>
      <c r="L832" s="188">
        <v>12.100000000000001</v>
      </c>
      <c r="M832" s="188" t="s">
        <v>2529</v>
      </c>
      <c r="N832" s="188" t="s">
        <v>2510</v>
      </c>
      <c r="O832">
        <v>812</v>
      </c>
      <c r="P832">
        <f>_xlfn.XLOOKUP(A832,'[1]Classic Net to delete'!D:D,'[1]Classic Net to delete'!AA:AA,0)</f>
        <v>936</v>
      </c>
    </row>
    <row r="833" spans="1:16" x14ac:dyDescent="0.25">
      <c r="A833" t="s">
        <v>2506</v>
      </c>
      <c r="B833" t="s">
        <v>2507</v>
      </c>
      <c r="C833">
        <v>10.75</v>
      </c>
      <c r="D833" t="s">
        <v>2508</v>
      </c>
      <c r="E833" t="str">
        <f>CONCATENATE(J833,". ",N833)</f>
        <v>03. General Tools</v>
      </c>
      <c r="F833">
        <v>75</v>
      </c>
      <c r="G833" t="b">
        <v>1</v>
      </c>
      <c r="H833">
        <v>937</v>
      </c>
      <c r="J833" s="193" t="s">
        <v>188</v>
      </c>
      <c r="K833" s="188" t="str">
        <f>IFERROR(_xlfn.XLOOKUP(A833,[1]Fleet!A:A,[1]Fleet!E:E,""),"")</f>
        <v/>
      </c>
      <c r="L833" s="188">
        <v>10.050000000000001</v>
      </c>
      <c r="M833" s="188" t="s">
        <v>2509</v>
      </c>
      <c r="N833" s="188" t="s">
        <v>2510</v>
      </c>
      <c r="O833">
        <v>813</v>
      </c>
      <c r="P833">
        <f>_xlfn.XLOOKUP(A833,'[1]Classic Net to delete'!D:D,'[1]Classic Net to delete'!AA:AA,0)</f>
        <v>937</v>
      </c>
    </row>
    <row r="834" spans="1:16" x14ac:dyDescent="0.25">
      <c r="A834" t="s">
        <v>2606</v>
      </c>
      <c r="B834" t="s">
        <v>2607</v>
      </c>
      <c r="C834">
        <v>22.1</v>
      </c>
      <c r="D834" t="s">
        <v>2508</v>
      </c>
      <c r="E834" t="str">
        <f>CONCATENATE(J834,". ",N834)</f>
        <v>03. General Tools</v>
      </c>
      <c r="F834">
        <v>75</v>
      </c>
      <c r="G834" t="b">
        <v>1</v>
      </c>
      <c r="H834">
        <v>940</v>
      </c>
      <c r="J834" s="193" t="s">
        <v>188</v>
      </c>
      <c r="K834" s="188" t="str">
        <f>IFERROR(_xlfn.XLOOKUP(A834,[1]Fleet!A:A,[1]Fleet!E:E,""),"")</f>
        <v/>
      </c>
      <c r="L834" s="188">
        <v>20.650000000000002</v>
      </c>
      <c r="M834" s="188" t="s">
        <v>2607</v>
      </c>
      <c r="N834" s="188" t="s">
        <v>2510</v>
      </c>
      <c r="O834">
        <v>811</v>
      </c>
      <c r="P834">
        <f>_xlfn.XLOOKUP(A834,'[1]Classic Net to delete'!D:D,'[1]Classic Net to delete'!AA:AA,0)</f>
        <v>940</v>
      </c>
    </row>
    <row r="835" spans="1:16" x14ac:dyDescent="0.25">
      <c r="A835" t="s">
        <v>1613</v>
      </c>
      <c r="B835" t="s">
        <v>1614</v>
      </c>
      <c r="C835">
        <v>72.92</v>
      </c>
      <c r="D835" t="s">
        <v>362</v>
      </c>
      <c r="E835" t="str">
        <f>CONCATENATE(J835,". ",N835)</f>
        <v>. Fire</v>
      </c>
      <c r="F835">
        <v>75</v>
      </c>
      <c r="G835" t="b">
        <v>0</v>
      </c>
      <c r="H835">
        <v>0</v>
      </c>
      <c r="K835" s="188">
        <f>IFERROR(_xlfn.XLOOKUP(A835,[1]Fleet!A:A,[1]Fleet!E:E,""),"")</f>
        <v>16</v>
      </c>
      <c r="L835" s="188" t="s">
        <v>76</v>
      </c>
      <c r="M835" s="188" t="s">
        <v>76</v>
      </c>
      <c r="N835" s="188" t="s">
        <v>1615</v>
      </c>
      <c r="O835">
        <v>840</v>
      </c>
      <c r="P835">
        <f>_xlfn.XLOOKUP(A835,'[1]Classic Net to delete'!D:D,'[1]Classic Net to delete'!AA:AA,0)</f>
        <v>0</v>
      </c>
    </row>
    <row r="836" spans="1:16" x14ac:dyDescent="0.25">
      <c r="A836" t="s">
        <v>1616</v>
      </c>
      <c r="B836" t="s">
        <v>1617</v>
      </c>
      <c r="C836">
        <v>22.580000000000002</v>
      </c>
      <c r="D836" t="s">
        <v>362</v>
      </c>
      <c r="E836" t="str">
        <f>CONCATENATE(J836,". ",N836)</f>
        <v>. Fire</v>
      </c>
      <c r="F836">
        <v>75</v>
      </c>
      <c r="G836" t="b">
        <v>0</v>
      </c>
      <c r="H836">
        <v>0</v>
      </c>
      <c r="K836" s="188">
        <f>IFERROR(_xlfn.XLOOKUP(A836,[1]Fleet!A:A,[1]Fleet!E:E,""),"")</f>
        <v>2</v>
      </c>
      <c r="L836" s="188" t="s">
        <v>76</v>
      </c>
      <c r="M836" s="188" t="s">
        <v>76</v>
      </c>
      <c r="N836" s="188" t="s">
        <v>1615</v>
      </c>
      <c r="O836">
        <v>839</v>
      </c>
      <c r="P836">
        <f>_xlfn.XLOOKUP(A836,'[1]Classic Net to delete'!D:D,'[1]Classic Net to delete'!AA:AA,0)</f>
        <v>0</v>
      </c>
    </row>
    <row r="837" spans="1:16" x14ac:dyDescent="0.25">
      <c r="A837" t="s">
        <v>1548</v>
      </c>
      <c r="B837" t="s">
        <v>1549</v>
      </c>
      <c r="C837">
        <v>45.15</v>
      </c>
      <c r="D837" t="s">
        <v>362</v>
      </c>
      <c r="E837" t="str">
        <f>CONCATENATE(J837,". ",N837)</f>
        <v>. Site Storage</v>
      </c>
      <c r="F837">
        <v>75</v>
      </c>
      <c r="G837" t="b">
        <v>0</v>
      </c>
      <c r="H837">
        <v>0</v>
      </c>
      <c r="K837" s="188">
        <f>IFERROR(_xlfn.XLOOKUP(A837,[1]Fleet!A:A,[1]Fleet!E:E,""),"")</f>
        <v>6</v>
      </c>
      <c r="L837" s="188" t="s">
        <v>76</v>
      </c>
      <c r="M837" s="188" t="s">
        <v>76</v>
      </c>
      <c r="N837" s="188" t="s">
        <v>1547</v>
      </c>
      <c r="O837">
        <v>861</v>
      </c>
      <c r="P837">
        <f>_xlfn.XLOOKUP(A837,'[1]Classic Net to delete'!D:D,'[1]Classic Net to delete'!AA:AA,0)</f>
        <v>0</v>
      </c>
    </row>
    <row r="838" spans="1:16" x14ac:dyDescent="0.25">
      <c r="A838" t="s">
        <v>1589</v>
      </c>
      <c r="B838" t="s">
        <v>1590</v>
      </c>
      <c r="C838">
        <v>83.62</v>
      </c>
      <c r="D838" t="s">
        <v>362</v>
      </c>
      <c r="E838" t="str">
        <f>CONCATENATE(J838,". ",N838)</f>
        <v>. Site Storage</v>
      </c>
      <c r="F838">
        <v>75</v>
      </c>
      <c r="G838" t="b">
        <v>0</v>
      </c>
      <c r="H838">
        <v>0</v>
      </c>
      <c r="K838" s="188">
        <f>IFERROR(_xlfn.XLOOKUP(A838,[1]Fleet!A:A,[1]Fleet!E:E,""),"")</f>
        <v>18</v>
      </c>
      <c r="L838" s="188" t="s">
        <v>76</v>
      </c>
      <c r="M838" s="188" t="s">
        <v>76</v>
      </c>
      <c r="N838" s="188" t="s">
        <v>1547</v>
      </c>
      <c r="O838">
        <v>860</v>
      </c>
      <c r="P838">
        <f>_xlfn.XLOOKUP(A838,'[1]Classic Net to delete'!D:D,'[1]Classic Net to delete'!AA:AA,0)</f>
        <v>0</v>
      </c>
    </row>
    <row r="839" spans="1:16" x14ac:dyDescent="0.25">
      <c r="A839" t="s">
        <v>1591</v>
      </c>
      <c r="B839" t="s">
        <v>1592</v>
      </c>
      <c r="C839">
        <v>128.4</v>
      </c>
      <c r="D839" t="s">
        <v>362</v>
      </c>
      <c r="E839" t="str">
        <f>CONCATENATE(J839,". ",N839)</f>
        <v>. Site Storage</v>
      </c>
      <c r="F839">
        <v>75</v>
      </c>
      <c r="G839" t="b">
        <v>0</v>
      </c>
      <c r="H839">
        <v>0</v>
      </c>
      <c r="K839" s="188">
        <f>IFERROR(_xlfn.XLOOKUP(A839,[1]Fleet!A:A,[1]Fleet!E:E,""),"")</f>
        <v>6</v>
      </c>
      <c r="L839" s="188" t="s">
        <v>76</v>
      </c>
      <c r="M839" s="188" t="s">
        <v>76</v>
      </c>
      <c r="N839" s="188" t="s">
        <v>1547</v>
      </c>
      <c r="O839">
        <v>862</v>
      </c>
      <c r="P839">
        <f>_xlfn.XLOOKUP(A839,'[1]Classic Net to delete'!D:D,'[1]Classic Net to delete'!AA:AA,0)</f>
        <v>0</v>
      </c>
    </row>
    <row r="840" spans="1:16" x14ac:dyDescent="0.25">
      <c r="A840" t="s">
        <v>360</v>
      </c>
      <c r="B840" t="s">
        <v>361</v>
      </c>
      <c r="C840">
        <v>11.34</v>
      </c>
      <c r="D840" t="s">
        <v>362</v>
      </c>
      <c r="E840" t="str">
        <f>CONCATENATE(J840,". ",N840)</f>
        <v xml:space="preserve">. Specialty </v>
      </c>
      <c r="F840">
        <v>75</v>
      </c>
      <c r="G840" t="b">
        <v>0</v>
      </c>
      <c r="H840">
        <v>0</v>
      </c>
      <c r="K840" s="188">
        <f>IFERROR(_xlfn.XLOOKUP(A840,[1]Fleet!A:A,[1]Fleet!E:E,""),"")</f>
        <v>3</v>
      </c>
      <c r="L840" s="188" t="s">
        <v>76</v>
      </c>
      <c r="M840" s="188" t="s">
        <v>76</v>
      </c>
      <c r="N840" s="188" t="s">
        <v>363</v>
      </c>
      <c r="O840">
        <v>868</v>
      </c>
      <c r="P840">
        <f>_xlfn.XLOOKUP(A840,'[1]Classic Net to delete'!D:D,'[1]Classic Net to delete'!AA:AA,0)</f>
        <v>0</v>
      </c>
    </row>
    <row r="841" spans="1:16" x14ac:dyDescent="0.25">
      <c r="A841" t="s">
        <v>2637</v>
      </c>
      <c r="B841" t="s">
        <v>2638</v>
      </c>
      <c r="C841">
        <v>5.99</v>
      </c>
      <c r="D841" t="s">
        <v>362</v>
      </c>
      <c r="E841" t="str">
        <f>CONCATENATE(J841,". ",N841)</f>
        <v>01. Support Safety</v>
      </c>
      <c r="F841">
        <v>75</v>
      </c>
      <c r="G841" t="b">
        <v>1</v>
      </c>
      <c r="H841">
        <v>946</v>
      </c>
      <c r="J841" s="193" t="s">
        <v>20</v>
      </c>
      <c r="K841" s="188" t="str">
        <f>IFERROR(_xlfn.XLOOKUP(A841,[1]Fleet!A:A,[1]Fleet!E:E,""),"")</f>
        <v/>
      </c>
      <c r="L841" s="188">
        <v>5.6000000000000005</v>
      </c>
      <c r="M841" s="188" t="s">
        <v>2639</v>
      </c>
      <c r="N841" s="188" t="s">
        <v>2640</v>
      </c>
      <c r="O841">
        <v>881</v>
      </c>
      <c r="P841">
        <f>_xlfn.XLOOKUP(A841,'[1]Classic Net to delete'!D:D,'[1]Classic Net to delete'!AA:AA,0)</f>
        <v>946</v>
      </c>
    </row>
    <row r="842" spans="1:16" x14ac:dyDescent="0.25">
      <c r="A842" t="s">
        <v>2641</v>
      </c>
      <c r="B842" t="s">
        <v>2642</v>
      </c>
      <c r="C842">
        <v>5.99</v>
      </c>
      <c r="D842" t="s">
        <v>362</v>
      </c>
      <c r="E842" t="str">
        <f>CONCATENATE(J842,". ",N842)</f>
        <v>01. Support Safety</v>
      </c>
      <c r="F842">
        <v>75</v>
      </c>
      <c r="G842" t="b">
        <v>1</v>
      </c>
      <c r="H842">
        <v>947</v>
      </c>
      <c r="J842" s="193" t="s">
        <v>20</v>
      </c>
      <c r="K842" s="188" t="str">
        <f>IFERROR(_xlfn.XLOOKUP(A842,[1]Fleet!A:A,[1]Fleet!E:E,""),"")</f>
        <v/>
      </c>
      <c r="L842" s="188">
        <v>5.6000000000000005</v>
      </c>
      <c r="M842" s="188" t="s">
        <v>2643</v>
      </c>
      <c r="N842" s="188" t="s">
        <v>2640</v>
      </c>
      <c r="O842">
        <v>880</v>
      </c>
      <c r="P842">
        <f>_xlfn.XLOOKUP(A842,'[1]Classic Net to delete'!D:D,'[1]Classic Net to delete'!AA:AA,0)</f>
        <v>947</v>
      </c>
    </row>
    <row r="843" spans="1:16" x14ac:dyDescent="0.25">
      <c r="A843" t="s">
        <v>2644</v>
      </c>
      <c r="B843" t="s">
        <v>2645</v>
      </c>
      <c r="C843">
        <v>5.99</v>
      </c>
      <c r="D843" t="s">
        <v>362</v>
      </c>
      <c r="E843" t="str">
        <f>CONCATENATE(J843,". ",N843)</f>
        <v>01. Support Safety</v>
      </c>
      <c r="F843">
        <v>75</v>
      </c>
      <c r="G843" t="b">
        <v>1</v>
      </c>
      <c r="H843">
        <v>948</v>
      </c>
      <c r="J843" s="193" t="s">
        <v>20</v>
      </c>
      <c r="K843" s="188" t="str">
        <f>IFERROR(_xlfn.XLOOKUP(A843,[1]Fleet!A:A,[1]Fleet!E:E,""),"")</f>
        <v/>
      </c>
      <c r="L843" s="188">
        <v>5.6000000000000005</v>
      </c>
      <c r="M843" s="188" t="s">
        <v>2646</v>
      </c>
      <c r="N843" s="188" t="s">
        <v>2640</v>
      </c>
      <c r="O843">
        <v>879</v>
      </c>
      <c r="P843">
        <f>_xlfn.XLOOKUP(A843,'[1]Classic Net to delete'!D:D,'[1]Classic Net to delete'!AA:AA,0)</f>
        <v>948</v>
      </c>
    </row>
    <row r="844" spans="1:16" x14ac:dyDescent="0.25">
      <c r="A844" t="s">
        <v>2647</v>
      </c>
      <c r="B844" t="s">
        <v>2648</v>
      </c>
      <c r="C844">
        <v>5.99</v>
      </c>
      <c r="D844" t="s">
        <v>362</v>
      </c>
      <c r="E844" t="str">
        <f>CONCATENATE(J844,". ",N844)</f>
        <v>01. Support Safety</v>
      </c>
      <c r="F844">
        <v>75</v>
      </c>
      <c r="G844" t="b">
        <v>1</v>
      </c>
      <c r="H844">
        <v>949</v>
      </c>
      <c r="J844" s="193" t="s">
        <v>20</v>
      </c>
      <c r="K844" s="188" t="str">
        <f>IFERROR(_xlfn.XLOOKUP(A844,[1]Fleet!A:A,[1]Fleet!E:E,""),"")</f>
        <v/>
      </c>
      <c r="L844" s="188">
        <v>5.6000000000000005</v>
      </c>
      <c r="M844" s="188" t="s">
        <v>2649</v>
      </c>
      <c r="N844" s="188" t="s">
        <v>2640</v>
      </c>
      <c r="O844">
        <v>878</v>
      </c>
      <c r="P844">
        <f>_xlfn.XLOOKUP(A844,'[1]Classic Net to delete'!D:D,'[1]Classic Net to delete'!AA:AA,0)</f>
        <v>949</v>
      </c>
    </row>
    <row r="845" spans="1:16" x14ac:dyDescent="0.25">
      <c r="A845" t="s">
        <v>2650</v>
      </c>
      <c r="B845" t="s">
        <v>2651</v>
      </c>
      <c r="C845">
        <v>5.99</v>
      </c>
      <c r="D845" t="s">
        <v>362</v>
      </c>
      <c r="E845" t="str">
        <f>CONCATENATE(J845,". ",N845)</f>
        <v>01. Support Safety</v>
      </c>
      <c r="F845">
        <v>75</v>
      </c>
      <c r="G845" t="b">
        <v>1</v>
      </c>
      <c r="H845">
        <v>950</v>
      </c>
      <c r="J845" s="193" t="s">
        <v>20</v>
      </c>
      <c r="K845" s="188" t="str">
        <f>IFERROR(_xlfn.XLOOKUP(A845,[1]Fleet!A:A,[1]Fleet!E:E,""),"")</f>
        <v/>
      </c>
      <c r="L845" s="188">
        <v>5.6000000000000005</v>
      </c>
      <c r="M845" s="188" t="s">
        <v>2652</v>
      </c>
      <c r="N845" s="188" t="s">
        <v>2640</v>
      </c>
      <c r="O845">
        <v>877</v>
      </c>
      <c r="P845">
        <f>_xlfn.XLOOKUP(A845,'[1]Classic Net to delete'!D:D,'[1]Classic Net to delete'!AA:AA,0)</f>
        <v>950</v>
      </c>
    </row>
    <row r="846" spans="1:16" x14ac:dyDescent="0.25">
      <c r="A846" t="s">
        <v>2653</v>
      </c>
      <c r="B846" t="s">
        <v>2654</v>
      </c>
      <c r="C846">
        <v>6.96</v>
      </c>
      <c r="D846" t="s">
        <v>362</v>
      </c>
      <c r="E846" t="str">
        <f>CONCATENATE(J846,". ",N846)</f>
        <v>01. Support Safety</v>
      </c>
      <c r="F846">
        <v>75</v>
      </c>
      <c r="G846" t="b">
        <v>1</v>
      </c>
      <c r="H846">
        <v>951</v>
      </c>
      <c r="J846" s="193" t="s">
        <v>20</v>
      </c>
      <c r="K846" s="188" t="str">
        <f>IFERROR(_xlfn.XLOOKUP(A846,[1]Fleet!A:A,[1]Fleet!E:E,""),"")</f>
        <v/>
      </c>
      <c r="L846" s="188">
        <v>6.5</v>
      </c>
      <c r="M846" s="188" t="s">
        <v>2655</v>
      </c>
      <c r="N846" s="188" t="s">
        <v>2640</v>
      </c>
      <c r="O846">
        <v>876</v>
      </c>
      <c r="P846">
        <f>_xlfn.XLOOKUP(A846,'[1]Classic Net to delete'!D:D,'[1]Classic Net to delete'!AA:AA,0)</f>
        <v>951</v>
      </c>
    </row>
    <row r="847" spans="1:16" x14ac:dyDescent="0.25">
      <c r="A847" t="s">
        <v>2656</v>
      </c>
      <c r="B847" t="s">
        <v>2657</v>
      </c>
      <c r="C847">
        <v>15.46</v>
      </c>
      <c r="D847" t="s">
        <v>362</v>
      </c>
      <c r="E847" t="str">
        <f>CONCATENATE(J847,". ",N847)</f>
        <v>01. Support Safety</v>
      </c>
      <c r="F847">
        <v>75</v>
      </c>
      <c r="G847" t="b">
        <v>1</v>
      </c>
      <c r="H847">
        <v>952</v>
      </c>
      <c r="J847" s="193" t="s">
        <v>20</v>
      </c>
      <c r="K847" s="188" t="str">
        <f>IFERROR(_xlfn.XLOOKUP(A847,[1]Fleet!A:A,[1]Fleet!E:E,""),"")</f>
        <v/>
      </c>
      <c r="L847" s="188">
        <v>14.450000000000001</v>
      </c>
      <c r="M847" s="188" t="s">
        <v>2658</v>
      </c>
      <c r="N847" s="188" t="s">
        <v>2640</v>
      </c>
      <c r="O847">
        <v>875</v>
      </c>
      <c r="P847">
        <f>_xlfn.XLOOKUP(A847,'[1]Classic Net to delete'!D:D,'[1]Classic Net to delete'!AA:AA,0)</f>
        <v>952</v>
      </c>
    </row>
    <row r="848" spans="1:16" x14ac:dyDescent="0.25">
      <c r="A848" t="s">
        <v>2673</v>
      </c>
      <c r="B848" t="s">
        <v>2674</v>
      </c>
      <c r="C848">
        <v>20.38</v>
      </c>
      <c r="D848" t="s">
        <v>362</v>
      </c>
      <c r="E848" t="str">
        <f>CONCATENATE(J848,". ",N848)</f>
        <v>01. Support Safety</v>
      </c>
      <c r="F848">
        <v>75</v>
      </c>
      <c r="G848" t="b">
        <v>1</v>
      </c>
      <c r="H848">
        <v>953</v>
      </c>
      <c r="J848" s="193" t="s">
        <v>20</v>
      </c>
      <c r="K848" s="188" t="str">
        <f>IFERROR(_xlfn.XLOOKUP(A848,[1]Fleet!A:A,[1]Fleet!E:E,""),"")</f>
        <v/>
      </c>
      <c r="L848" s="188">
        <v>19.05</v>
      </c>
      <c r="M848" s="188" t="s">
        <v>2675</v>
      </c>
      <c r="N848" s="188" t="s">
        <v>2640</v>
      </c>
      <c r="O848">
        <v>870</v>
      </c>
      <c r="P848">
        <f>_xlfn.XLOOKUP(A848,'[1]Classic Net to delete'!D:D,'[1]Classic Net to delete'!AA:AA,0)</f>
        <v>953</v>
      </c>
    </row>
    <row r="849" spans="1:16" x14ac:dyDescent="0.25">
      <c r="A849" t="s">
        <v>2676</v>
      </c>
      <c r="B849" t="s">
        <v>2677</v>
      </c>
      <c r="C849">
        <v>38.57</v>
      </c>
      <c r="D849" t="s">
        <v>362</v>
      </c>
      <c r="E849" t="str">
        <f>CONCATENATE(J849,". ",N849)</f>
        <v>01. Support Safety</v>
      </c>
      <c r="F849">
        <v>75</v>
      </c>
      <c r="G849" t="b">
        <v>1</v>
      </c>
      <c r="H849">
        <v>954</v>
      </c>
      <c r="J849" s="193" t="s">
        <v>20</v>
      </c>
      <c r="K849" s="188" t="str">
        <f>IFERROR(_xlfn.XLOOKUP(A849,[1]Fleet!A:A,[1]Fleet!E:E,""),"")</f>
        <v/>
      </c>
      <c r="L849" s="188">
        <v>36.050000000000004</v>
      </c>
      <c r="M849" s="188" t="s">
        <v>2677</v>
      </c>
      <c r="N849" s="188" t="s">
        <v>2640</v>
      </c>
      <c r="O849">
        <v>869</v>
      </c>
      <c r="P849">
        <f>_xlfn.XLOOKUP(A849,'[1]Classic Net to delete'!D:D,'[1]Classic Net to delete'!AA:AA,0)</f>
        <v>954</v>
      </c>
    </row>
    <row r="850" spans="1:16" x14ac:dyDescent="0.25">
      <c r="A850" t="s">
        <v>2659</v>
      </c>
      <c r="B850" t="s">
        <v>2660</v>
      </c>
      <c r="C850">
        <v>5.08</v>
      </c>
      <c r="D850" t="s">
        <v>362</v>
      </c>
      <c r="E850" t="str">
        <f>CONCATENATE(J850,". ",N850)</f>
        <v>01. Support Safety</v>
      </c>
      <c r="F850">
        <v>75</v>
      </c>
      <c r="G850" t="b">
        <v>1</v>
      </c>
      <c r="H850">
        <v>955</v>
      </c>
      <c r="J850" s="193" t="s">
        <v>20</v>
      </c>
      <c r="K850" s="188" t="str">
        <f>IFERROR(_xlfn.XLOOKUP(A850,[1]Fleet!A:A,[1]Fleet!E:E,""),"")</f>
        <v/>
      </c>
      <c r="L850" s="188">
        <v>4.75</v>
      </c>
      <c r="M850" s="188" t="s">
        <v>2661</v>
      </c>
      <c r="N850" s="188" t="s">
        <v>2640</v>
      </c>
      <c r="O850">
        <v>874</v>
      </c>
      <c r="P850">
        <f>_xlfn.XLOOKUP(A850,'[1]Classic Net to delete'!D:D,'[1]Classic Net to delete'!AA:AA,0)</f>
        <v>955</v>
      </c>
    </row>
    <row r="851" spans="1:16" x14ac:dyDescent="0.25">
      <c r="A851" t="s">
        <v>2662</v>
      </c>
      <c r="B851" t="s">
        <v>2663</v>
      </c>
      <c r="C851">
        <v>5.08</v>
      </c>
      <c r="D851" t="s">
        <v>362</v>
      </c>
      <c r="E851" t="str">
        <f>CONCATENATE(J851,". ",N851)</f>
        <v>01. Support Safety</v>
      </c>
      <c r="F851">
        <v>75</v>
      </c>
      <c r="G851" t="b">
        <v>1</v>
      </c>
      <c r="H851">
        <v>956</v>
      </c>
      <c r="J851" s="193" t="s">
        <v>20</v>
      </c>
      <c r="K851" s="188" t="str">
        <f>IFERROR(_xlfn.XLOOKUP(A851,[1]Fleet!A:A,[1]Fleet!E:E,""),"")</f>
        <v/>
      </c>
      <c r="L851" s="188">
        <v>4.75</v>
      </c>
      <c r="M851" s="188" t="s">
        <v>2664</v>
      </c>
      <c r="N851" s="188" t="s">
        <v>2640</v>
      </c>
      <c r="O851">
        <v>873</v>
      </c>
      <c r="P851">
        <f>_xlfn.XLOOKUP(A851,'[1]Classic Net to delete'!D:D,'[1]Classic Net to delete'!AA:AA,0)</f>
        <v>956</v>
      </c>
    </row>
    <row r="852" spans="1:16" x14ac:dyDescent="0.25">
      <c r="A852" t="s">
        <v>2665</v>
      </c>
      <c r="B852" t="s">
        <v>2666</v>
      </c>
      <c r="C852">
        <v>5.08</v>
      </c>
      <c r="D852" t="s">
        <v>362</v>
      </c>
      <c r="E852" t="str">
        <f>CONCATENATE(J852,". ",N852)</f>
        <v>01. Support Safety</v>
      </c>
      <c r="F852">
        <v>75</v>
      </c>
      <c r="G852" t="b">
        <v>1</v>
      </c>
      <c r="H852">
        <v>957</v>
      </c>
      <c r="J852" s="193" t="s">
        <v>20</v>
      </c>
      <c r="K852" s="188" t="str">
        <f>IFERROR(_xlfn.XLOOKUP(A852,[1]Fleet!A:A,[1]Fleet!E:E,""),"")</f>
        <v/>
      </c>
      <c r="L852" s="188">
        <v>4.75</v>
      </c>
      <c r="M852" s="188" t="s">
        <v>2667</v>
      </c>
      <c r="N852" s="188" t="s">
        <v>2640</v>
      </c>
      <c r="O852">
        <v>872</v>
      </c>
      <c r="P852">
        <f>_xlfn.XLOOKUP(A852,'[1]Classic Net to delete'!D:D,'[1]Classic Net to delete'!AA:AA,0)</f>
        <v>957</v>
      </c>
    </row>
    <row r="853" spans="1:16" x14ac:dyDescent="0.25">
      <c r="A853" t="s">
        <v>2668</v>
      </c>
      <c r="B853" t="s">
        <v>2669</v>
      </c>
      <c r="C853">
        <v>5.08</v>
      </c>
      <c r="D853" t="s">
        <v>362</v>
      </c>
      <c r="E853" t="str">
        <f>CONCATENATE(J853,". ",N853)</f>
        <v>01. Support Safety</v>
      </c>
      <c r="F853">
        <v>75</v>
      </c>
      <c r="G853" t="b">
        <v>1</v>
      </c>
      <c r="H853">
        <v>958</v>
      </c>
      <c r="J853" s="193" t="s">
        <v>20</v>
      </c>
      <c r="K853" s="188" t="str">
        <f>IFERROR(_xlfn.XLOOKUP(A853,[1]Fleet!A:A,[1]Fleet!E:E,""),"")</f>
        <v/>
      </c>
      <c r="L853" s="188">
        <v>4.75</v>
      </c>
      <c r="M853" s="188" t="s">
        <v>2670</v>
      </c>
      <c r="N853" s="188" t="s">
        <v>2640</v>
      </c>
      <c r="O853">
        <v>871</v>
      </c>
      <c r="P853">
        <f>_xlfn.XLOOKUP(A853,'[1]Classic Net to delete'!D:D,'[1]Classic Net to delete'!AA:AA,0)</f>
        <v>958</v>
      </c>
    </row>
    <row r="854" spans="1:16" x14ac:dyDescent="0.25">
      <c r="A854" t="s">
        <v>1561</v>
      </c>
      <c r="B854" t="s">
        <v>1562</v>
      </c>
      <c r="C854">
        <v>54.57</v>
      </c>
      <c r="D854" t="s">
        <v>362</v>
      </c>
      <c r="E854" t="str">
        <f>CONCATENATE(J854,". ",N854)</f>
        <v>02. Working at Height</v>
      </c>
      <c r="F854">
        <v>75</v>
      </c>
      <c r="G854" t="b">
        <v>1</v>
      </c>
      <c r="H854">
        <v>961</v>
      </c>
      <c r="J854" s="193" t="s">
        <v>189</v>
      </c>
      <c r="K854" s="188">
        <f>IFERROR(_xlfn.XLOOKUP(A854,[1]Fleet!A:A,[1]Fleet!E:E,""),"")</f>
        <v>43</v>
      </c>
      <c r="L854" s="188">
        <v>51</v>
      </c>
      <c r="M854" s="188" t="s">
        <v>1563</v>
      </c>
      <c r="N854" s="188" t="s">
        <v>1564</v>
      </c>
      <c r="O854">
        <v>882</v>
      </c>
      <c r="P854">
        <f>_xlfn.XLOOKUP(A854,'[1]Classic Net to delete'!D:D,'[1]Classic Net to delete'!AA:AA,0)</f>
        <v>961</v>
      </c>
    </row>
    <row r="855" spans="1:16" x14ac:dyDescent="0.25">
      <c r="A855" t="s">
        <v>1571</v>
      </c>
      <c r="B855" t="s">
        <v>1572</v>
      </c>
      <c r="C855">
        <v>61.85</v>
      </c>
      <c r="D855" t="s">
        <v>362</v>
      </c>
      <c r="E855" t="str">
        <f>CONCATENATE(J855,". ",N855)</f>
        <v>02. Working at Height</v>
      </c>
      <c r="F855">
        <v>75</v>
      </c>
      <c r="G855" t="b">
        <v>1</v>
      </c>
      <c r="H855">
        <v>963</v>
      </c>
      <c r="J855" s="193" t="s">
        <v>189</v>
      </c>
      <c r="K855" s="188">
        <f>IFERROR(_xlfn.XLOOKUP(A855,[1]Fleet!A:A,[1]Fleet!E:E,""),"")</f>
        <v>8</v>
      </c>
      <c r="L855" s="188">
        <v>57.800000000000004</v>
      </c>
      <c r="M855" s="188" t="s">
        <v>1573</v>
      </c>
      <c r="N855" s="188" t="s">
        <v>1564</v>
      </c>
      <c r="O855">
        <v>885</v>
      </c>
      <c r="P855">
        <f>_xlfn.XLOOKUP(A855,'[1]Classic Net to delete'!D:D,'[1]Classic Net to delete'!AA:AA,0)</f>
        <v>963</v>
      </c>
    </row>
    <row r="856" spans="1:16" x14ac:dyDescent="0.25">
      <c r="A856" t="s">
        <v>1565</v>
      </c>
      <c r="B856" t="s">
        <v>1566</v>
      </c>
      <c r="C856">
        <v>67.570000000000007</v>
      </c>
      <c r="D856" t="s">
        <v>362</v>
      </c>
      <c r="E856" t="str">
        <f>CONCATENATE(J856,". ",N856)</f>
        <v>02. Working at Height</v>
      </c>
      <c r="F856">
        <v>75</v>
      </c>
      <c r="G856" t="b">
        <v>1</v>
      </c>
      <c r="H856">
        <v>964</v>
      </c>
      <c r="J856" s="193" t="s">
        <v>189</v>
      </c>
      <c r="K856" s="188">
        <f>IFERROR(_xlfn.XLOOKUP(A856,[1]Fleet!A:A,[1]Fleet!E:E,""),"")</f>
        <v>5</v>
      </c>
      <c r="L856" s="188">
        <v>63.150000000000006</v>
      </c>
      <c r="M856" s="188" t="s">
        <v>1567</v>
      </c>
      <c r="N856" s="188" t="s">
        <v>1564</v>
      </c>
      <c r="O856">
        <v>883</v>
      </c>
      <c r="P856">
        <f>_xlfn.XLOOKUP(A856,'[1]Classic Net to delete'!D:D,'[1]Classic Net to delete'!AA:AA,0)</f>
        <v>964</v>
      </c>
    </row>
    <row r="857" spans="1:16" x14ac:dyDescent="0.25">
      <c r="A857" t="s">
        <v>1568</v>
      </c>
      <c r="B857" t="s">
        <v>1569</v>
      </c>
      <c r="C857">
        <v>70.350000000000009</v>
      </c>
      <c r="D857" t="s">
        <v>362</v>
      </c>
      <c r="E857" t="str">
        <f>CONCATENATE(J857,". ",N857)</f>
        <v>02. Working at Height</v>
      </c>
      <c r="F857">
        <v>75</v>
      </c>
      <c r="G857" t="b">
        <v>1</v>
      </c>
      <c r="H857">
        <v>965</v>
      </c>
      <c r="J857" s="193" t="s">
        <v>189</v>
      </c>
      <c r="K857" s="188">
        <f>IFERROR(_xlfn.XLOOKUP(A857,[1]Fleet!A:A,[1]Fleet!E:E,""),"")</f>
        <v>3</v>
      </c>
      <c r="L857" s="188">
        <v>65.75</v>
      </c>
      <c r="M857" s="188" t="s">
        <v>1570</v>
      </c>
      <c r="N857" s="188" t="s">
        <v>1564</v>
      </c>
      <c r="O857">
        <v>884</v>
      </c>
      <c r="P857">
        <f>_xlfn.XLOOKUP(A857,'[1]Classic Net to delete'!D:D,'[1]Classic Net to delete'!AA:AA,0)</f>
        <v>965</v>
      </c>
    </row>
    <row r="858" spans="1:16" x14ac:dyDescent="0.25">
      <c r="A858" t="s">
        <v>1593</v>
      </c>
      <c r="B858" t="s">
        <v>1594</v>
      </c>
      <c r="C858">
        <v>114.86</v>
      </c>
      <c r="D858" t="s">
        <v>362</v>
      </c>
      <c r="E858" t="str">
        <f>CONCATENATE(J858,". ",N858)</f>
        <v>02. Working at Height</v>
      </c>
      <c r="F858">
        <v>75</v>
      </c>
      <c r="G858" t="b">
        <v>1</v>
      </c>
      <c r="H858">
        <v>966</v>
      </c>
      <c r="J858" s="193" t="s">
        <v>189</v>
      </c>
      <c r="K858" s="188">
        <f>IFERROR(_xlfn.XLOOKUP(A858,[1]Fleet!A:A,[1]Fleet!E:E,""),"")</f>
        <v>2</v>
      </c>
      <c r="L858" s="188">
        <v>107.35000000000001</v>
      </c>
      <c r="M858" s="188" t="s">
        <v>1595</v>
      </c>
      <c r="N858" s="188" t="s">
        <v>1564</v>
      </c>
      <c r="O858">
        <v>888</v>
      </c>
      <c r="P858">
        <f>_xlfn.XLOOKUP(A858,'[1]Classic Net to delete'!D:D,'[1]Classic Net to delete'!AA:AA,0)</f>
        <v>966</v>
      </c>
    </row>
    <row r="859" spans="1:16" x14ac:dyDescent="0.25">
      <c r="A859" t="s">
        <v>1596</v>
      </c>
      <c r="B859" t="s">
        <v>1597</v>
      </c>
      <c r="C859">
        <v>151.08000000000001</v>
      </c>
      <c r="D859" t="s">
        <v>362</v>
      </c>
      <c r="E859" t="str">
        <f>CONCATENATE(J859,". ",N859)</f>
        <v>02. Working at Height</v>
      </c>
      <c r="F859">
        <v>75</v>
      </c>
      <c r="G859" t="b">
        <v>1</v>
      </c>
      <c r="H859">
        <v>967</v>
      </c>
      <c r="J859" s="193" t="s">
        <v>189</v>
      </c>
      <c r="K859" s="188">
        <f>IFERROR(_xlfn.XLOOKUP(A859,[1]Fleet!A:A,[1]Fleet!E:E,""),"")</f>
        <v>3</v>
      </c>
      <c r="L859" s="188">
        <v>141.20000000000002</v>
      </c>
      <c r="M859" s="188" t="s">
        <v>1597</v>
      </c>
      <c r="N859" s="188" t="s">
        <v>1564</v>
      </c>
      <c r="O859">
        <v>887</v>
      </c>
      <c r="P859">
        <f>_xlfn.XLOOKUP(A859,'[1]Classic Net to delete'!D:D,'[1]Classic Net to delete'!AA:AA,0)</f>
        <v>967</v>
      </c>
    </row>
    <row r="860" spans="1:16" x14ac:dyDescent="0.25">
      <c r="A860" t="s">
        <v>1598</v>
      </c>
      <c r="B860" t="s">
        <v>1599</v>
      </c>
      <c r="C860">
        <v>186.5</v>
      </c>
      <c r="D860" t="s">
        <v>362</v>
      </c>
      <c r="E860" t="str">
        <f>CONCATENATE(J860,". ",N860)</f>
        <v>02. Working at Height</v>
      </c>
      <c r="F860">
        <v>75</v>
      </c>
      <c r="G860" t="b">
        <v>1</v>
      </c>
      <c r="H860">
        <v>968</v>
      </c>
      <c r="J860" s="193" t="s">
        <v>189</v>
      </c>
      <c r="K860" s="188">
        <f>IFERROR(_xlfn.XLOOKUP(A860,[1]Fleet!A:A,[1]Fleet!E:E,""),"")</f>
        <v>10</v>
      </c>
      <c r="L860" s="188">
        <v>174.3</v>
      </c>
      <c r="M860" s="188" t="s">
        <v>1599</v>
      </c>
      <c r="N860" s="188" t="s">
        <v>1564</v>
      </c>
      <c r="O860">
        <v>886</v>
      </c>
      <c r="P860">
        <f>_xlfn.XLOOKUP(A860,'[1]Classic Net to delete'!D:D,'[1]Classic Net to delete'!AA:AA,0)</f>
        <v>968</v>
      </c>
    </row>
    <row r="861" spans="1:16" x14ac:dyDescent="0.25">
      <c r="A861" t="s">
        <v>1600</v>
      </c>
      <c r="B861" t="s">
        <v>1601</v>
      </c>
      <c r="C861">
        <v>194.31</v>
      </c>
      <c r="D861" t="s">
        <v>362</v>
      </c>
      <c r="E861" t="str">
        <f>CONCATENATE(J861,". ",N861)</f>
        <v>02. Working at Height</v>
      </c>
      <c r="F861">
        <v>75</v>
      </c>
      <c r="G861" t="b">
        <v>1</v>
      </c>
      <c r="H861">
        <v>969</v>
      </c>
      <c r="J861" s="193" t="s">
        <v>189</v>
      </c>
      <c r="K861" s="188">
        <f>IFERROR(_xlfn.XLOOKUP(A861,[1]Fleet!A:A,[1]Fleet!E:E,""),"")</f>
        <v>12</v>
      </c>
      <c r="L861" s="188">
        <v>181.60000000000002</v>
      </c>
      <c r="M861" s="188" t="s">
        <v>1602</v>
      </c>
      <c r="N861" s="188" t="s">
        <v>1564</v>
      </c>
      <c r="O861">
        <v>889</v>
      </c>
      <c r="P861">
        <f>_xlfn.XLOOKUP(A861,'[1]Classic Net to delete'!D:D,'[1]Classic Net to delete'!AA:AA,0)</f>
        <v>969</v>
      </c>
    </row>
    <row r="862" spans="1:16" x14ac:dyDescent="0.25">
      <c r="A862" t="s">
        <v>1574</v>
      </c>
      <c r="B862" t="s">
        <v>1575</v>
      </c>
      <c r="C862">
        <v>76.13</v>
      </c>
      <c r="D862" t="s">
        <v>362</v>
      </c>
      <c r="E862" t="str">
        <f>CONCATENATE(J862,". ",N862)</f>
        <v>02. Working at Height</v>
      </c>
      <c r="F862">
        <v>75</v>
      </c>
      <c r="G862" t="b">
        <v>1</v>
      </c>
      <c r="H862">
        <v>970</v>
      </c>
      <c r="J862" s="193" t="s">
        <v>189</v>
      </c>
      <c r="K862" s="188">
        <f>IFERROR(_xlfn.XLOOKUP(A862,[1]Fleet!A:A,[1]Fleet!E:E,""),"")</f>
        <v>13</v>
      </c>
      <c r="L862" s="188">
        <v>71.150000000000006</v>
      </c>
      <c r="M862" s="188" t="s">
        <v>1576</v>
      </c>
      <c r="N862" s="188" t="s">
        <v>1564</v>
      </c>
      <c r="O862">
        <v>890</v>
      </c>
      <c r="P862">
        <f>_xlfn.XLOOKUP(A862,'[1]Classic Net to delete'!D:D,'[1]Classic Net to delete'!AA:AA,0)</f>
        <v>970</v>
      </c>
    </row>
    <row r="863" spans="1:16" x14ac:dyDescent="0.25">
      <c r="A863" t="s">
        <v>2680</v>
      </c>
      <c r="B863" t="s">
        <v>2681</v>
      </c>
      <c r="C863">
        <v>17.07</v>
      </c>
      <c r="D863" t="s">
        <v>362</v>
      </c>
      <c r="E863" t="str">
        <f>CONCATENATE(J863,". ",N863)</f>
        <v>03. Fire Safety</v>
      </c>
      <c r="F863">
        <v>75</v>
      </c>
      <c r="G863" t="b">
        <v>1</v>
      </c>
      <c r="H863">
        <v>973</v>
      </c>
      <c r="J863" s="193" t="s">
        <v>188</v>
      </c>
      <c r="K863" s="188" t="str">
        <f>IFERROR(_xlfn.XLOOKUP(A863,[1]Fleet!A:A,[1]Fleet!E:E,""),"")</f>
        <v/>
      </c>
      <c r="L863" s="188">
        <v>15.950000000000001</v>
      </c>
      <c r="M863" s="188" t="s">
        <v>2681</v>
      </c>
      <c r="N863" s="188" t="s">
        <v>1612</v>
      </c>
      <c r="O863">
        <v>846</v>
      </c>
      <c r="P863">
        <f>_xlfn.XLOOKUP(A863,'[1]Classic Net to delete'!D:D,'[1]Classic Net to delete'!AA:AA,0)</f>
        <v>973</v>
      </c>
    </row>
    <row r="864" spans="1:16" x14ac:dyDescent="0.25">
      <c r="A864" t="s">
        <v>2682</v>
      </c>
      <c r="B864" t="s">
        <v>2683</v>
      </c>
      <c r="C864">
        <v>17.07</v>
      </c>
      <c r="D864" t="s">
        <v>362</v>
      </c>
      <c r="E864" t="str">
        <f>CONCATENATE(J864,". ",N864)</f>
        <v>03. Fire Safety</v>
      </c>
      <c r="F864">
        <v>75</v>
      </c>
      <c r="G864" t="b">
        <v>1</v>
      </c>
      <c r="H864">
        <v>974</v>
      </c>
      <c r="J864" s="193" t="s">
        <v>188</v>
      </c>
      <c r="K864" s="188" t="str">
        <f>IFERROR(_xlfn.XLOOKUP(A864,[1]Fleet!A:A,[1]Fleet!E:E,""),"")</f>
        <v/>
      </c>
      <c r="L864" s="188">
        <v>15.950000000000001</v>
      </c>
      <c r="M864" s="188" t="s">
        <v>2684</v>
      </c>
      <c r="N864" s="188" t="s">
        <v>1612</v>
      </c>
      <c r="O864">
        <v>845</v>
      </c>
      <c r="P864">
        <f>_xlfn.XLOOKUP(A864,'[1]Classic Net to delete'!D:D,'[1]Classic Net to delete'!AA:AA,0)</f>
        <v>974</v>
      </c>
    </row>
    <row r="865" spans="1:16" x14ac:dyDescent="0.25">
      <c r="A865" t="s">
        <v>2691</v>
      </c>
      <c r="B865" t="s">
        <v>2692</v>
      </c>
      <c r="C865">
        <v>17.07</v>
      </c>
      <c r="D865" t="s">
        <v>362</v>
      </c>
      <c r="E865" t="str">
        <f>CONCATENATE(J865,". ",N865)</f>
        <v>03. Fire Safety</v>
      </c>
      <c r="F865">
        <v>75</v>
      </c>
      <c r="G865" t="b">
        <v>1</v>
      </c>
      <c r="H865">
        <v>975</v>
      </c>
      <c r="J865" s="193" t="s">
        <v>188</v>
      </c>
      <c r="K865" s="188" t="str">
        <f>IFERROR(_xlfn.XLOOKUP(A865,[1]Fleet!A:A,[1]Fleet!E:E,""),"")</f>
        <v/>
      </c>
      <c r="L865" s="188">
        <v>15.950000000000001</v>
      </c>
      <c r="M865" s="188" t="s">
        <v>2693</v>
      </c>
      <c r="N865" s="188" t="s">
        <v>1612</v>
      </c>
      <c r="O865">
        <v>842</v>
      </c>
      <c r="P865">
        <f>_xlfn.XLOOKUP(A865,'[1]Classic Net to delete'!D:D,'[1]Classic Net to delete'!AA:AA,0)</f>
        <v>975</v>
      </c>
    </row>
    <row r="866" spans="1:16" x14ac:dyDescent="0.25">
      <c r="A866" t="s">
        <v>2687</v>
      </c>
      <c r="B866" t="s">
        <v>2688</v>
      </c>
      <c r="C866">
        <v>17.07</v>
      </c>
      <c r="D866" t="s">
        <v>362</v>
      </c>
      <c r="E866" t="str">
        <f>CONCATENATE(J866,". ",N866)</f>
        <v>03. Fire Safety</v>
      </c>
      <c r="F866">
        <v>75</v>
      </c>
      <c r="G866" t="b">
        <v>1</v>
      </c>
      <c r="H866">
        <v>976</v>
      </c>
      <c r="J866" s="193" t="s">
        <v>188</v>
      </c>
      <c r="K866" s="188" t="str">
        <f>IFERROR(_xlfn.XLOOKUP(A866,[1]Fleet!A:A,[1]Fleet!E:E,""),"")</f>
        <v/>
      </c>
      <c r="L866" s="188">
        <v>15.950000000000001</v>
      </c>
      <c r="M866" s="188" t="s">
        <v>2688</v>
      </c>
      <c r="N866" s="188" t="s">
        <v>1612</v>
      </c>
      <c r="O866">
        <v>844</v>
      </c>
      <c r="P866">
        <f>_xlfn.XLOOKUP(A866,'[1]Classic Net to delete'!D:D,'[1]Classic Net to delete'!AA:AA,0)</f>
        <v>976</v>
      </c>
    </row>
    <row r="867" spans="1:16" x14ac:dyDescent="0.25">
      <c r="A867" t="s">
        <v>2689</v>
      </c>
      <c r="B867" t="s">
        <v>2690</v>
      </c>
      <c r="C867">
        <v>21.19</v>
      </c>
      <c r="D867" t="s">
        <v>362</v>
      </c>
      <c r="E867" t="str">
        <f>CONCATENATE(J867,". ",N867)</f>
        <v>03. Fire Safety</v>
      </c>
      <c r="F867">
        <v>75</v>
      </c>
      <c r="G867" t="b">
        <v>1</v>
      </c>
      <c r="H867">
        <v>977</v>
      </c>
      <c r="J867" s="193" t="s">
        <v>188</v>
      </c>
      <c r="K867" s="188" t="str">
        <f>IFERROR(_xlfn.XLOOKUP(A867,[1]Fleet!A:A,[1]Fleet!E:E,""),"")</f>
        <v/>
      </c>
      <c r="L867" s="188">
        <v>19.8</v>
      </c>
      <c r="M867" s="188" t="s">
        <v>2690</v>
      </c>
      <c r="N867" s="188" t="s">
        <v>1612</v>
      </c>
      <c r="O867">
        <v>843</v>
      </c>
      <c r="P867">
        <f>_xlfn.XLOOKUP(A867,'[1]Classic Net to delete'!D:D,'[1]Classic Net to delete'!AA:AA,0)</f>
        <v>977</v>
      </c>
    </row>
    <row r="868" spans="1:16" x14ac:dyDescent="0.25">
      <c r="A868" t="s">
        <v>2696</v>
      </c>
      <c r="B868" t="s">
        <v>2697</v>
      </c>
      <c r="C868">
        <v>43.28</v>
      </c>
      <c r="D868" t="s">
        <v>362</v>
      </c>
      <c r="E868" t="str">
        <f>CONCATENATE(J868,". ",N868)</f>
        <v>03. Fire Safety</v>
      </c>
      <c r="F868">
        <v>75</v>
      </c>
      <c r="G868" t="b">
        <v>1</v>
      </c>
      <c r="H868">
        <v>978</v>
      </c>
      <c r="J868" s="193" t="s">
        <v>188</v>
      </c>
      <c r="K868" s="188" t="str">
        <f>IFERROR(_xlfn.XLOOKUP(A868,[1]Fleet!A:A,[1]Fleet!E:E,""),"")</f>
        <v/>
      </c>
      <c r="L868" s="188">
        <v>40.450000000000003</v>
      </c>
      <c r="M868" s="188" t="s">
        <v>2698</v>
      </c>
      <c r="N868" s="188" t="s">
        <v>1612</v>
      </c>
      <c r="O868">
        <v>841</v>
      </c>
      <c r="P868">
        <f>_xlfn.XLOOKUP(A868,'[1]Classic Net to delete'!D:D,'[1]Classic Net to delete'!AA:AA,0)</f>
        <v>978</v>
      </c>
    </row>
    <row r="869" spans="1:16" x14ac:dyDescent="0.25">
      <c r="A869" t="s">
        <v>1609</v>
      </c>
      <c r="B869" t="s">
        <v>1610</v>
      </c>
      <c r="C869">
        <v>56.76</v>
      </c>
      <c r="D869" t="s">
        <v>362</v>
      </c>
      <c r="E869" t="str">
        <f>CONCATENATE(J869,". ",N869)</f>
        <v>03. Fire Safety</v>
      </c>
      <c r="F869">
        <v>75</v>
      </c>
      <c r="G869" t="b">
        <v>1</v>
      </c>
      <c r="H869">
        <v>979</v>
      </c>
      <c r="J869" s="193" t="s">
        <v>188</v>
      </c>
      <c r="K869" s="188">
        <f>IFERROR(_xlfn.XLOOKUP(A869,[1]Fleet!A:A,[1]Fleet!E:E,""),"")</f>
        <v>63</v>
      </c>
      <c r="L869" s="188">
        <v>53.050000000000004</v>
      </c>
      <c r="M869" s="188" t="s">
        <v>1611</v>
      </c>
      <c r="N869" s="188" t="s">
        <v>1612</v>
      </c>
      <c r="O869">
        <v>838</v>
      </c>
      <c r="P869">
        <f>_xlfn.XLOOKUP(A869,'[1]Classic Net to delete'!D:D,'[1]Classic Net to delete'!AA:AA,0)</f>
        <v>979</v>
      </c>
    </row>
    <row r="870" spans="1:16" x14ac:dyDescent="0.25">
      <c r="A870" t="s">
        <v>1603</v>
      </c>
      <c r="B870" t="s">
        <v>1604</v>
      </c>
      <c r="C870">
        <v>34.130000000000003</v>
      </c>
      <c r="D870" t="s">
        <v>362</v>
      </c>
      <c r="E870" t="str">
        <f>CONCATENATE(J870,". ",N870)</f>
        <v>04. Environmental Safety</v>
      </c>
      <c r="F870">
        <v>75</v>
      </c>
      <c r="G870" t="b">
        <v>1</v>
      </c>
      <c r="H870">
        <v>983</v>
      </c>
      <c r="J870" s="193" t="s">
        <v>269</v>
      </c>
      <c r="K870" s="188">
        <f>IFERROR(_xlfn.XLOOKUP(A870,[1]Fleet!A:A,[1]Fleet!E:E,""),"")</f>
        <v>12</v>
      </c>
      <c r="L870" s="188">
        <v>31.900000000000002</v>
      </c>
      <c r="M870" s="188" t="s">
        <v>1605</v>
      </c>
      <c r="N870" s="188" t="s">
        <v>1606</v>
      </c>
      <c r="O870">
        <v>863</v>
      </c>
      <c r="P870">
        <f>_xlfn.XLOOKUP(A870,'[1]Classic Net to delete'!D:D,'[1]Classic Net to delete'!AA:AA,0)</f>
        <v>983</v>
      </c>
    </row>
    <row r="871" spans="1:16" x14ac:dyDescent="0.25">
      <c r="A871" t="s">
        <v>2627</v>
      </c>
      <c r="B871" t="s">
        <v>2628</v>
      </c>
      <c r="C871">
        <v>19.96</v>
      </c>
      <c r="D871" t="s">
        <v>362</v>
      </c>
      <c r="E871" t="str">
        <f>CONCATENATE(J871,". ",N871)</f>
        <v>04. Environmental Safety</v>
      </c>
      <c r="F871">
        <v>75</v>
      </c>
      <c r="G871" t="b">
        <v>1</v>
      </c>
      <c r="H871">
        <v>984</v>
      </c>
      <c r="J871" s="193" t="s">
        <v>269</v>
      </c>
      <c r="K871" s="188" t="str">
        <f>IFERROR(_xlfn.XLOOKUP(A871,[1]Fleet!A:A,[1]Fleet!E:E,""),"")</f>
        <v/>
      </c>
      <c r="L871" s="188">
        <v>18.650000000000002</v>
      </c>
      <c r="M871" s="188" t="s">
        <v>2628</v>
      </c>
      <c r="N871" s="188" t="s">
        <v>1606</v>
      </c>
      <c r="O871">
        <v>837</v>
      </c>
      <c r="P871">
        <f>_xlfn.XLOOKUP(A871,'[1]Classic Net to delete'!D:D,'[1]Classic Net to delete'!AA:AA,0)</f>
        <v>984</v>
      </c>
    </row>
    <row r="872" spans="1:16" x14ac:dyDescent="0.25">
      <c r="A872" t="s">
        <v>2633</v>
      </c>
      <c r="B872" t="s">
        <v>2634</v>
      </c>
      <c r="C872">
        <v>27.12</v>
      </c>
      <c r="D872" t="s">
        <v>362</v>
      </c>
      <c r="E872" t="str">
        <f>CONCATENATE(J872,". ",N872)</f>
        <v>04. Environmental Safety</v>
      </c>
      <c r="F872">
        <v>75</v>
      </c>
      <c r="G872" t="b">
        <v>1</v>
      </c>
      <c r="H872">
        <v>985</v>
      </c>
      <c r="J872" s="193" t="s">
        <v>269</v>
      </c>
      <c r="K872" s="188" t="str">
        <f>IFERROR(_xlfn.XLOOKUP(A872,[1]Fleet!A:A,[1]Fleet!E:E,""),"")</f>
        <v/>
      </c>
      <c r="L872" s="188">
        <v>25.35</v>
      </c>
      <c r="M872" s="188" t="s">
        <v>2634</v>
      </c>
      <c r="N872" s="188" t="s">
        <v>1606</v>
      </c>
      <c r="O872">
        <v>836</v>
      </c>
      <c r="P872">
        <f>_xlfn.XLOOKUP(A872,'[1]Classic Net to delete'!D:D,'[1]Classic Net to delete'!AA:AA,0)</f>
        <v>985</v>
      </c>
    </row>
    <row r="873" spans="1:16" x14ac:dyDescent="0.25">
      <c r="A873" t="s">
        <v>1607</v>
      </c>
      <c r="B873" t="s">
        <v>1608</v>
      </c>
      <c r="C873">
        <v>34.130000000000003</v>
      </c>
      <c r="D873" t="s">
        <v>362</v>
      </c>
      <c r="E873" t="str">
        <f>CONCATENATE(J873,". ",N873)</f>
        <v>04. Environmental Safety</v>
      </c>
      <c r="F873">
        <v>75</v>
      </c>
      <c r="G873" t="b">
        <v>1</v>
      </c>
      <c r="H873">
        <v>987</v>
      </c>
      <c r="J873" s="193" t="s">
        <v>269</v>
      </c>
      <c r="K873" s="188">
        <f>IFERROR(_xlfn.XLOOKUP(A873,[1]Fleet!A:A,[1]Fleet!E:E,""),"")</f>
        <v>1</v>
      </c>
      <c r="L873" s="188">
        <v>31.900000000000002</v>
      </c>
      <c r="M873" s="188" t="s">
        <v>1608</v>
      </c>
      <c r="N873" s="188" t="s">
        <v>1606</v>
      </c>
      <c r="O873">
        <v>864</v>
      </c>
      <c r="P873">
        <f>_xlfn.XLOOKUP(A873,'[1]Classic Net to delete'!D:D,'[1]Classic Net to delete'!AA:AA,0)</f>
        <v>987</v>
      </c>
    </row>
    <row r="874" spans="1:16" x14ac:dyDescent="0.25">
      <c r="A874" t="s">
        <v>2635</v>
      </c>
      <c r="B874" t="s">
        <v>2636</v>
      </c>
      <c r="C874">
        <v>10.75</v>
      </c>
      <c r="D874" t="s">
        <v>362</v>
      </c>
      <c r="E874" t="str">
        <f>CONCATENATE(J874,". ",N874)</f>
        <v>04. Environmental Safety</v>
      </c>
      <c r="F874">
        <v>75</v>
      </c>
      <c r="G874" t="b">
        <v>1</v>
      </c>
      <c r="H874">
        <v>988</v>
      </c>
      <c r="J874" s="193" t="s">
        <v>269</v>
      </c>
      <c r="K874" s="188" t="str">
        <f>IFERROR(_xlfn.XLOOKUP(A874,[1]Fleet!A:A,[1]Fleet!E:E,""),"")</f>
        <v/>
      </c>
      <c r="L874" s="188">
        <v>10.050000000000001</v>
      </c>
      <c r="M874" s="188" t="s">
        <v>2636</v>
      </c>
      <c r="N874" s="188" t="s">
        <v>1606</v>
      </c>
      <c r="O874">
        <v>835</v>
      </c>
      <c r="P874">
        <f>_xlfn.XLOOKUP(A874,'[1]Classic Net to delete'!D:D,'[1]Classic Net to delete'!AA:AA,0)</f>
        <v>988</v>
      </c>
    </row>
    <row r="875" spans="1:16" x14ac:dyDescent="0.25">
      <c r="A875" t="s">
        <v>2597</v>
      </c>
      <c r="B875" t="s">
        <v>2598</v>
      </c>
      <c r="C875">
        <v>1.61</v>
      </c>
      <c r="D875" t="s">
        <v>362</v>
      </c>
      <c r="E875" t="str">
        <f>CONCATENATE(J875,". ",N875)</f>
        <v>05. Security Barriers &amp; Fencing</v>
      </c>
      <c r="F875">
        <v>75</v>
      </c>
      <c r="G875" t="b">
        <v>1</v>
      </c>
      <c r="H875">
        <v>915</v>
      </c>
      <c r="J875" s="193" t="s">
        <v>263</v>
      </c>
      <c r="K875" s="188" t="str">
        <f>IFERROR(_xlfn.XLOOKUP(A875,[1]Fleet!A:A,[1]Fleet!E:E,""),"")</f>
        <v/>
      </c>
      <c r="L875" s="188">
        <v>1.5</v>
      </c>
      <c r="M875" s="188" t="s">
        <v>2598</v>
      </c>
      <c r="N875" s="188" t="s">
        <v>2599</v>
      </c>
      <c r="O875">
        <v>853</v>
      </c>
      <c r="P875">
        <f>_xlfn.XLOOKUP(A875,'[1]Classic Net to delete'!D:D,'[1]Classic Net to delete'!AA:AA,0)</f>
        <v>915</v>
      </c>
    </row>
    <row r="876" spans="1:16" x14ac:dyDescent="0.25">
      <c r="A876" t="s">
        <v>2703</v>
      </c>
      <c r="B876" t="s">
        <v>2704</v>
      </c>
      <c r="C876">
        <v>5.99</v>
      </c>
      <c r="D876" t="s">
        <v>362</v>
      </c>
      <c r="E876" t="str">
        <f>CONCATENATE(J876,". ",N876)</f>
        <v>05. Security Barriers &amp; Fencing</v>
      </c>
      <c r="F876">
        <v>75</v>
      </c>
      <c r="G876" t="b">
        <v>1</v>
      </c>
      <c r="H876">
        <v>991</v>
      </c>
      <c r="J876" s="193" t="s">
        <v>263</v>
      </c>
      <c r="K876" s="188" t="str">
        <f>IFERROR(_xlfn.XLOOKUP(A876,[1]Fleet!A:A,[1]Fleet!E:E,""),"")</f>
        <v/>
      </c>
      <c r="L876" s="188">
        <v>5.6000000000000005</v>
      </c>
      <c r="M876" s="188" t="s">
        <v>2704</v>
      </c>
      <c r="N876" s="188" t="s">
        <v>2599</v>
      </c>
      <c r="O876">
        <v>852</v>
      </c>
      <c r="P876">
        <f>_xlfn.XLOOKUP(A876,'[1]Classic Net to delete'!D:D,'[1]Classic Net to delete'!AA:AA,0)</f>
        <v>991</v>
      </c>
    </row>
    <row r="877" spans="1:16" x14ac:dyDescent="0.25">
      <c r="A877" t="s">
        <v>2708</v>
      </c>
      <c r="B877" t="s">
        <v>2709</v>
      </c>
      <c r="C877">
        <v>4.01</v>
      </c>
      <c r="D877" t="s">
        <v>362</v>
      </c>
      <c r="E877" t="str">
        <f>CONCATENATE(J877,". ",N877)</f>
        <v>05. Security Barriers &amp; Fencing</v>
      </c>
      <c r="F877">
        <v>75</v>
      </c>
      <c r="G877" t="b">
        <v>1</v>
      </c>
      <c r="H877">
        <v>992</v>
      </c>
      <c r="J877" s="193" t="s">
        <v>263</v>
      </c>
      <c r="K877" s="188" t="str">
        <f>IFERROR(_xlfn.XLOOKUP(A877,[1]Fleet!A:A,[1]Fleet!E:E,""),"")</f>
        <v/>
      </c>
      <c r="L877" s="188">
        <v>3.75</v>
      </c>
      <c r="M877" s="188" t="s">
        <v>2710</v>
      </c>
      <c r="N877" s="188" t="s">
        <v>2599</v>
      </c>
      <c r="O877">
        <v>850</v>
      </c>
      <c r="P877">
        <f>_xlfn.XLOOKUP(A877,'[1]Classic Net to delete'!D:D,'[1]Classic Net to delete'!AA:AA,0)</f>
        <v>992</v>
      </c>
    </row>
    <row r="878" spans="1:16" x14ac:dyDescent="0.25">
      <c r="A878" t="s">
        <v>2711</v>
      </c>
      <c r="B878" t="s">
        <v>2712</v>
      </c>
      <c r="C878">
        <v>9.7900000000000009</v>
      </c>
      <c r="D878" t="s">
        <v>362</v>
      </c>
      <c r="E878" t="str">
        <f>CONCATENATE(J878,". ",N878)</f>
        <v>05. Security Barriers &amp; Fencing</v>
      </c>
      <c r="F878">
        <v>75</v>
      </c>
      <c r="G878" t="b">
        <v>1</v>
      </c>
      <c r="H878">
        <v>993</v>
      </c>
      <c r="J878" s="193" t="s">
        <v>263</v>
      </c>
      <c r="K878" s="188" t="str">
        <f>IFERROR(_xlfn.XLOOKUP(A878,[1]Fleet!A:A,[1]Fleet!E:E,""),"")</f>
        <v/>
      </c>
      <c r="L878" s="188">
        <v>9.15</v>
      </c>
      <c r="M878" s="188" t="s">
        <v>2712</v>
      </c>
      <c r="N878" s="188" t="s">
        <v>2599</v>
      </c>
      <c r="O878">
        <v>849</v>
      </c>
      <c r="P878">
        <f>_xlfn.XLOOKUP(A878,'[1]Classic Net to delete'!D:D,'[1]Classic Net to delete'!AA:AA,0)</f>
        <v>993</v>
      </c>
    </row>
    <row r="879" spans="1:16" x14ac:dyDescent="0.25">
      <c r="A879" t="s">
        <v>2713</v>
      </c>
      <c r="B879" t="s">
        <v>2714</v>
      </c>
      <c r="C879">
        <v>10.38</v>
      </c>
      <c r="D879" t="s">
        <v>362</v>
      </c>
      <c r="E879" t="str">
        <f>CONCATENATE(J879,". ",N879)</f>
        <v>05. Security Barriers &amp; Fencing</v>
      </c>
      <c r="F879">
        <v>75</v>
      </c>
      <c r="G879" t="b">
        <v>1</v>
      </c>
      <c r="H879">
        <v>994</v>
      </c>
      <c r="J879" s="193" t="s">
        <v>263</v>
      </c>
      <c r="K879" s="188" t="str">
        <f>IFERROR(_xlfn.XLOOKUP(A879,[1]Fleet!A:A,[1]Fleet!E:E,""),"")</f>
        <v/>
      </c>
      <c r="L879" s="188">
        <v>9.7000000000000011</v>
      </c>
      <c r="M879" s="188" t="s">
        <v>2715</v>
      </c>
      <c r="N879" s="188" t="s">
        <v>2599</v>
      </c>
      <c r="O879">
        <v>848</v>
      </c>
      <c r="P879">
        <f>_xlfn.XLOOKUP(A879,'[1]Classic Net to delete'!D:D,'[1]Classic Net to delete'!AA:AA,0)</f>
        <v>994</v>
      </c>
    </row>
    <row r="880" spans="1:16" x14ac:dyDescent="0.25">
      <c r="A880" t="s">
        <v>2705</v>
      </c>
      <c r="B880" t="s">
        <v>2706</v>
      </c>
      <c r="C880">
        <v>17.07</v>
      </c>
      <c r="D880" t="s">
        <v>362</v>
      </c>
      <c r="E880" t="str">
        <f>CONCATENATE(J880,". ",N880)</f>
        <v>05. Security Barriers &amp; Fencing</v>
      </c>
      <c r="F880">
        <v>75</v>
      </c>
      <c r="G880" t="b">
        <v>1</v>
      </c>
      <c r="H880">
        <v>995</v>
      </c>
      <c r="J880" s="193" t="s">
        <v>263</v>
      </c>
      <c r="K880" s="188" t="str">
        <f>IFERROR(_xlfn.XLOOKUP(A880,[1]Fleet!A:A,[1]Fleet!E:E,""),"")</f>
        <v/>
      </c>
      <c r="L880" s="188">
        <v>15.950000000000001</v>
      </c>
      <c r="M880" s="188" t="s">
        <v>2707</v>
      </c>
      <c r="N880" s="188" t="s">
        <v>2599</v>
      </c>
      <c r="O880">
        <v>851</v>
      </c>
      <c r="P880">
        <f>_xlfn.XLOOKUP(A880,'[1]Classic Net to delete'!D:D,'[1]Classic Net to delete'!AA:AA,0)</f>
        <v>995</v>
      </c>
    </row>
    <row r="881" spans="1:16" x14ac:dyDescent="0.25">
      <c r="A881" t="s">
        <v>1544</v>
      </c>
      <c r="B881" t="s">
        <v>1545</v>
      </c>
      <c r="C881">
        <v>35.36</v>
      </c>
      <c r="D881" t="s">
        <v>362</v>
      </c>
      <c r="E881" t="str">
        <f>CONCATENATE(J881,". ",N881)</f>
        <v>06. Site Storage</v>
      </c>
      <c r="F881">
        <v>75</v>
      </c>
      <c r="G881" t="b">
        <v>1</v>
      </c>
      <c r="H881">
        <v>1000</v>
      </c>
      <c r="J881" s="193" t="s">
        <v>259</v>
      </c>
      <c r="K881" s="188">
        <f>IFERROR(_xlfn.XLOOKUP(A881,[1]Fleet!A:A,[1]Fleet!E:E,""),"")</f>
        <v>247</v>
      </c>
      <c r="L881" s="188">
        <v>33.050000000000004</v>
      </c>
      <c r="M881" s="188" t="s">
        <v>1546</v>
      </c>
      <c r="N881" s="188" t="s">
        <v>1547</v>
      </c>
      <c r="O881">
        <v>854</v>
      </c>
      <c r="P881">
        <f>_xlfn.XLOOKUP(A881,'[1]Classic Net to delete'!D:D,'[1]Classic Net to delete'!AA:AA,0)</f>
        <v>1000</v>
      </c>
    </row>
    <row r="882" spans="1:16" x14ac:dyDescent="0.25">
      <c r="A882" t="s">
        <v>1550</v>
      </c>
      <c r="B882" t="s">
        <v>1551</v>
      </c>
      <c r="C882">
        <v>45.15</v>
      </c>
      <c r="D882" t="s">
        <v>362</v>
      </c>
      <c r="E882" t="str">
        <f>CONCATENATE(J882,". ",N882)</f>
        <v>06. Site Storage</v>
      </c>
      <c r="F882">
        <v>75</v>
      </c>
      <c r="G882" t="b">
        <v>1</v>
      </c>
      <c r="H882">
        <v>1001</v>
      </c>
      <c r="J882" s="193" t="s">
        <v>259</v>
      </c>
      <c r="K882" s="188">
        <f>IFERROR(_xlfn.XLOOKUP(A882,[1]Fleet!A:A,[1]Fleet!E:E,""),"")</f>
        <v>151</v>
      </c>
      <c r="L882" s="188">
        <v>42.2</v>
      </c>
      <c r="M882" s="188" t="s">
        <v>1552</v>
      </c>
      <c r="N882" s="188" t="s">
        <v>1547</v>
      </c>
      <c r="O882">
        <v>855</v>
      </c>
      <c r="P882">
        <f>_xlfn.XLOOKUP(A882,'[1]Classic Net to delete'!D:D,'[1]Classic Net to delete'!AA:AA,0)</f>
        <v>1001</v>
      </c>
    </row>
    <row r="883" spans="1:16" x14ac:dyDescent="0.25">
      <c r="A883" t="s">
        <v>1577</v>
      </c>
      <c r="B883" t="s">
        <v>1578</v>
      </c>
      <c r="C883">
        <v>83.62</v>
      </c>
      <c r="D883" t="s">
        <v>362</v>
      </c>
      <c r="E883" t="str">
        <f>CONCATENATE(J883,". ",N883)</f>
        <v>06. Site Storage</v>
      </c>
      <c r="F883">
        <v>75</v>
      </c>
      <c r="G883" t="b">
        <v>1</v>
      </c>
      <c r="H883">
        <v>1002</v>
      </c>
      <c r="J883" s="193" t="s">
        <v>259</v>
      </c>
      <c r="K883" s="188">
        <f>IFERROR(_xlfn.XLOOKUP(A883,[1]Fleet!A:A,[1]Fleet!E:E,""),"")</f>
        <v>69</v>
      </c>
      <c r="L883" s="188">
        <v>78.150000000000006</v>
      </c>
      <c r="M883" s="188" t="s">
        <v>1579</v>
      </c>
      <c r="N883" s="188" t="s">
        <v>1547</v>
      </c>
      <c r="O883">
        <v>857</v>
      </c>
      <c r="P883">
        <f>_xlfn.XLOOKUP(A883,'[1]Classic Net to delete'!D:D,'[1]Classic Net to delete'!AA:AA,0)</f>
        <v>1002</v>
      </c>
    </row>
    <row r="884" spans="1:16" x14ac:dyDescent="0.25">
      <c r="A884" t="s">
        <v>1559</v>
      </c>
      <c r="B884" t="s">
        <v>1560</v>
      </c>
      <c r="C884">
        <v>35.36</v>
      </c>
      <c r="D884" t="s">
        <v>362</v>
      </c>
      <c r="E884" t="str">
        <f>CONCATENATE(J884,". ",N884)</f>
        <v>06. Site Storage</v>
      </c>
      <c r="F884">
        <v>75</v>
      </c>
      <c r="G884" t="b">
        <v>1</v>
      </c>
      <c r="H884">
        <v>1003</v>
      </c>
      <c r="J884" s="193" t="s">
        <v>259</v>
      </c>
      <c r="K884" s="188">
        <f>IFERROR(_xlfn.XLOOKUP(A884,[1]Fleet!A:A,[1]Fleet!E:E,""),"")</f>
        <v>9</v>
      </c>
      <c r="L884" s="188">
        <v>33.050000000000004</v>
      </c>
      <c r="M884" s="188" t="s">
        <v>1560</v>
      </c>
      <c r="N884" s="188" t="s">
        <v>1547</v>
      </c>
      <c r="O884">
        <v>856</v>
      </c>
      <c r="P884">
        <f>_xlfn.XLOOKUP(A884,'[1]Classic Net to delete'!D:D,'[1]Classic Net to delete'!AA:AA,0)</f>
        <v>1003</v>
      </c>
    </row>
    <row r="885" spans="1:16" x14ac:dyDescent="0.25">
      <c r="A885" t="s">
        <v>1553</v>
      </c>
      <c r="B885" t="s">
        <v>1554</v>
      </c>
      <c r="C885">
        <v>49.59</v>
      </c>
      <c r="D885" t="s">
        <v>362</v>
      </c>
      <c r="E885" t="str">
        <f>CONCATENATE(J885,". ",N885)</f>
        <v>06. Site Storage</v>
      </c>
      <c r="F885">
        <v>75</v>
      </c>
      <c r="G885" t="b">
        <v>1</v>
      </c>
      <c r="H885">
        <v>1004</v>
      </c>
      <c r="J885" s="193" t="s">
        <v>259</v>
      </c>
      <c r="K885" s="188">
        <f>IFERROR(_xlfn.XLOOKUP(A885,[1]Fleet!A:A,[1]Fleet!E:E,""),"")</f>
        <v>20</v>
      </c>
      <c r="L885" s="188">
        <v>46.35</v>
      </c>
      <c r="M885" s="188" t="s">
        <v>1555</v>
      </c>
      <c r="N885" s="188" t="s">
        <v>1547</v>
      </c>
      <c r="O885">
        <v>866</v>
      </c>
      <c r="P885">
        <f>_xlfn.XLOOKUP(A885,'[1]Classic Net to delete'!D:D,'[1]Classic Net to delete'!AA:AA,0)</f>
        <v>1004</v>
      </c>
    </row>
    <row r="886" spans="1:16" x14ac:dyDescent="0.25">
      <c r="A886" t="s">
        <v>1556</v>
      </c>
      <c r="B886" t="s">
        <v>1557</v>
      </c>
      <c r="C886">
        <v>49.86</v>
      </c>
      <c r="D886" t="s">
        <v>362</v>
      </c>
      <c r="E886" t="str">
        <f>CONCATENATE(J886,". ",N886)</f>
        <v>06. Site Storage</v>
      </c>
      <c r="F886">
        <v>75</v>
      </c>
      <c r="G886" t="b">
        <v>1</v>
      </c>
      <c r="H886">
        <v>1005</v>
      </c>
      <c r="J886" s="193" t="s">
        <v>259</v>
      </c>
      <c r="K886" s="188">
        <f>IFERROR(_xlfn.XLOOKUP(A886,[1]Fleet!A:A,[1]Fleet!E:E,""),"")</f>
        <v>23</v>
      </c>
      <c r="L886" s="188">
        <v>46.6</v>
      </c>
      <c r="M886" s="188" t="s">
        <v>1558</v>
      </c>
      <c r="N886" s="188" t="s">
        <v>1547</v>
      </c>
      <c r="O886">
        <v>867</v>
      </c>
      <c r="P886">
        <f>_xlfn.XLOOKUP(A886,'[1]Classic Net to delete'!D:D,'[1]Classic Net to delete'!AA:AA,0)</f>
        <v>1005</v>
      </c>
    </row>
    <row r="887" spans="1:16" x14ac:dyDescent="0.25">
      <c r="A887" t="s">
        <v>1580</v>
      </c>
      <c r="B887" t="s">
        <v>1581</v>
      </c>
      <c r="C887">
        <v>88.33</v>
      </c>
      <c r="D887" t="s">
        <v>362</v>
      </c>
      <c r="E887" t="str">
        <f>CONCATENATE(J887,". ",N887)</f>
        <v>06. Site Storage</v>
      </c>
      <c r="F887">
        <v>75</v>
      </c>
      <c r="G887" t="b">
        <v>1</v>
      </c>
      <c r="H887">
        <v>1006</v>
      </c>
      <c r="J887" s="193" t="s">
        <v>259</v>
      </c>
      <c r="K887" s="188">
        <f>IFERROR(_xlfn.XLOOKUP(A887,[1]Fleet!A:A,[1]Fleet!E:E,""),"")</f>
        <v>36</v>
      </c>
      <c r="L887" s="188">
        <v>82.550000000000011</v>
      </c>
      <c r="M887" s="188" t="s">
        <v>1582</v>
      </c>
      <c r="N887" s="188" t="s">
        <v>1547</v>
      </c>
      <c r="O887">
        <v>859</v>
      </c>
      <c r="P887">
        <f>_xlfn.XLOOKUP(A887,'[1]Classic Net to delete'!D:D,'[1]Classic Net to delete'!AA:AA,0)</f>
        <v>1006</v>
      </c>
    </row>
    <row r="888" spans="1:16" x14ac:dyDescent="0.25">
      <c r="A888" t="s">
        <v>1583</v>
      </c>
      <c r="B888" t="s">
        <v>1584</v>
      </c>
      <c r="C888">
        <v>68.05</v>
      </c>
      <c r="D888" t="s">
        <v>362</v>
      </c>
      <c r="E888" t="str">
        <f>CONCATENATE(J888,". ",N888)</f>
        <v>06. Site Storage</v>
      </c>
      <c r="F888">
        <v>75</v>
      </c>
      <c r="G888" t="b">
        <v>1</v>
      </c>
      <c r="H888">
        <v>1007</v>
      </c>
      <c r="J888" s="193" t="s">
        <v>259</v>
      </c>
      <c r="K888" s="188">
        <f>IFERROR(_xlfn.XLOOKUP(A888,[1]Fleet!A:A,[1]Fleet!E:E,""),"")</f>
        <v>23</v>
      </c>
      <c r="L888" s="188">
        <v>63.6</v>
      </c>
      <c r="M888" s="188" t="s">
        <v>1585</v>
      </c>
      <c r="N888" s="188" t="s">
        <v>1547</v>
      </c>
      <c r="O888">
        <v>858</v>
      </c>
      <c r="P888">
        <f>_xlfn.XLOOKUP(A888,'[1]Classic Net to delete'!D:D,'[1]Classic Net to delete'!AA:AA,0)</f>
        <v>1007</v>
      </c>
    </row>
    <row r="889" spans="1:16" x14ac:dyDescent="0.25">
      <c r="A889" t="s">
        <v>1586</v>
      </c>
      <c r="B889" t="s">
        <v>1587</v>
      </c>
      <c r="C889">
        <v>55.620000000000005</v>
      </c>
      <c r="D889" t="s">
        <v>362</v>
      </c>
      <c r="E889" t="str">
        <f>CONCATENATE(J889,". ",N889)</f>
        <v>06. Site Storage</v>
      </c>
      <c r="F889">
        <v>75</v>
      </c>
      <c r="G889" t="b">
        <v>1</v>
      </c>
      <c r="H889">
        <v>1008</v>
      </c>
      <c r="J889" s="193" t="s">
        <v>259</v>
      </c>
      <c r="K889" s="188">
        <f>IFERROR(_xlfn.XLOOKUP(A889,[1]Fleet!A:A,[1]Fleet!E:E,""),"")</f>
        <v>32</v>
      </c>
      <c r="L889" s="188">
        <v>46.35</v>
      </c>
      <c r="M889" s="188" t="s">
        <v>1588</v>
      </c>
      <c r="N889" s="188" t="s">
        <v>1547</v>
      </c>
      <c r="O889">
        <v>865</v>
      </c>
      <c r="P889">
        <f>_xlfn.XLOOKUP(A889,'[1]Classic Net to delete'!D:D,'[1]Classic Net to delete'!AA:AA,0)</f>
        <v>1008</v>
      </c>
    </row>
    <row r="890" spans="1:16" x14ac:dyDescent="0.25">
      <c r="A890" t="s">
        <v>2618</v>
      </c>
      <c r="B890" t="s">
        <v>2619</v>
      </c>
      <c r="C890">
        <v>44.51</v>
      </c>
      <c r="D890" t="s">
        <v>362</v>
      </c>
      <c r="E890" t="str">
        <f>CONCATENATE(J890,". ",N890)</f>
        <v>07. Packaging Security</v>
      </c>
      <c r="F890">
        <v>75</v>
      </c>
      <c r="G890" t="b">
        <v>1</v>
      </c>
      <c r="H890">
        <v>1011</v>
      </c>
      <c r="J890" s="193" t="s">
        <v>194</v>
      </c>
      <c r="K890" s="188" t="str">
        <f>IFERROR(_xlfn.XLOOKUP(A890,[1]Fleet!A:A,[1]Fleet!E:E,""),"")</f>
        <v/>
      </c>
      <c r="L890" s="188">
        <v>41.6</v>
      </c>
      <c r="M890" s="188" t="s">
        <v>2619</v>
      </c>
      <c r="N890" s="188" t="s">
        <v>2620</v>
      </c>
      <c r="O890">
        <v>847</v>
      </c>
      <c r="P890">
        <f>_xlfn.XLOOKUP(A890,'[1]Classic Net to delete'!D:D,'[1]Classic Net to delete'!AA:AA,0)</f>
        <v>1011</v>
      </c>
    </row>
    <row r="891" spans="1:16" x14ac:dyDescent="0.25">
      <c r="A891" t="s">
        <v>2994</v>
      </c>
      <c r="B891" t="s">
        <v>2995</v>
      </c>
      <c r="C891">
        <v>0</v>
      </c>
      <c r="D891" t="s">
        <v>1620</v>
      </c>
      <c r="E891" t="str">
        <f>CONCATENATE(J891,". ",N891)</f>
        <v>. TBC</v>
      </c>
      <c r="F891">
        <v>75</v>
      </c>
      <c r="G891" t="b">
        <v>0</v>
      </c>
      <c r="H891">
        <v>0</v>
      </c>
      <c r="K891" s="188">
        <f>IFERROR(_xlfn.XLOOKUP(A891,[1]Fleet!A:A,[1]Fleet!E:E,""),"")</f>
        <v>2</v>
      </c>
      <c r="L891" s="188" t="s">
        <v>76</v>
      </c>
      <c r="M891" s="188" t="s">
        <v>76</v>
      </c>
      <c r="N891" s="188" t="s">
        <v>1712</v>
      </c>
      <c r="O891">
        <v>917</v>
      </c>
      <c r="P891">
        <f>_xlfn.XLOOKUP(A891,'[1]Classic Net to delete'!D:D,'[1]Classic Net to delete'!AA:AA,0)</f>
        <v>0</v>
      </c>
    </row>
    <row r="892" spans="1:16" x14ac:dyDescent="0.25">
      <c r="A892" t="s">
        <v>2994</v>
      </c>
      <c r="B892" t="s">
        <v>2996</v>
      </c>
      <c r="C892">
        <v>0</v>
      </c>
      <c r="D892" t="s">
        <v>1620</v>
      </c>
      <c r="E892" t="str">
        <f>CONCATENATE(J892,". ",N892)</f>
        <v>. TBC</v>
      </c>
      <c r="F892">
        <v>75</v>
      </c>
      <c r="G892" t="b">
        <v>0</v>
      </c>
      <c r="H892">
        <v>0</v>
      </c>
      <c r="K892" s="188">
        <f>IFERROR(_xlfn.XLOOKUP(A892,[1]Fleet!A:A,[1]Fleet!E:E,""),"")</f>
        <v>2</v>
      </c>
      <c r="L892" s="188" t="s">
        <v>76</v>
      </c>
      <c r="M892" s="188" t="s">
        <v>76</v>
      </c>
      <c r="N892" s="188" t="s">
        <v>1712</v>
      </c>
      <c r="O892">
        <v>918</v>
      </c>
      <c r="P892">
        <f>_xlfn.XLOOKUP(A892,'[1]Classic Net to delete'!D:D,'[1]Classic Net to delete'!AA:AA,0)</f>
        <v>0</v>
      </c>
    </row>
    <row r="893" spans="1:16" x14ac:dyDescent="0.25">
      <c r="A893" t="s">
        <v>3000</v>
      </c>
      <c r="B893" t="s">
        <v>2995</v>
      </c>
      <c r="C893">
        <v>0</v>
      </c>
      <c r="D893" t="s">
        <v>1620</v>
      </c>
      <c r="E893" t="str">
        <f>CONCATENATE(J893,". ",N893)</f>
        <v>. TBC</v>
      </c>
      <c r="F893">
        <v>75</v>
      </c>
      <c r="G893" t="b">
        <v>0</v>
      </c>
      <c r="H893">
        <v>0</v>
      </c>
      <c r="K893" s="188" t="str">
        <f>IFERROR(_xlfn.XLOOKUP(A893,[1]Fleet!A:A,[1]Fleet!E:E,""),"")</f>
        <v/>
      </c>
      <c r="L893" s="188" t="s">
        <v>76</v>
      </c>
      <c r="M893" s="188" t="s">
        <v>76</v>
      </c>
      <c r="N893" s="188" t="s">
        <v>1712</v>
      </c>
      <c r="O893">
        <v>915</v>
      </c>
      <c r="P893">
        <f>_xlfn.XLOOKUP(A893,'[1]Classic Net to delete'!D:D,'[1]Classic Net to delete'!AA:AA,0)</f>
        <v>0</v>
      </c>
    </row>
    <row r="894" spans="1:16" x14ac:dyDescent="0.25">
      <c r="A894" t="s">
        <v>3000</v>
      </c>
      <c r="B894" t="s">
        <v>2996</v>
      </c>
      <c r="C894">
        <v>0</v>
      </c>
      <c r="D894" t="s">
        <v>1620</v>
      </c>
      <c r="E894" t="str">
        <f>CONCATENATE(J894,". ",N894)</f>
        <v>. TBC</v>
      </c>
      <c r="F894">
        <v>75</v>
      </c>
      <c r="G894" t="b">
        <v>0</v>
      </c>
      <c r="H894">
        <v>0</v>
      </c>
      <c r="K894" s="188" t="str">
        <f>IFERROR(_xlfn.XLOOKUP(A894,[1]Fleet!A:A,[1]Fleet!E:E,""),"")</f>
        <v/>
      </c>
      <c r="L894" s="188" t="s">
        <v>76</v>
      </c>
      <c r="M894" s="188" t="s">
        <v>76</v>
      </c>
      <c r="N894" s="188" t="s">
        <v>1712</v>
      </c>
      <c r="O894">
        <v>916</v>
      </c>
      <c r="P894">
        <f>_xlfn.XLOOKUP(A894,'[1]Classic Net to delete'!D:D,'[1]Classic Net to delete'!AA:AA,0)</f>
        <v>0</v>
      </c>
    </row>
    <row r="895" spans="1:16" x14ac:dyDescent="0.25">
      <c r="A895" t="s">
        <v>2720</v>
      </c>
      <c r="B895" t="s">
        <v>2721</v>
      </c>
      <c r="C895">
        <v>3.8000000000000003</v>
      </c>
      <c r="D895" t="s">
        <v>1620</v>
      </c>
      <c r="E895" t="str">
        <f>CONCATENATE(J895,". ",N895)</f>
        <v>01. Event, Canteen &amp; Catering Equipment</v>
      </c>
      <c r="F895">
        <v>75</v>
      </c>
      <c r="G895" t="b">
        <v>1</v>
      </c>
      <c r="H895">
        <v>1018</v>
      </c>
      <c r="J895" s="193" t="s">
        <v>20</v>
      </c>
      <c r="K895" s="188" t="str">
        <f>IFERROR(_xlfn.XLOOKUP(A895,[1]Fleet!A:A,[1]Fleet!E:E,""),"")</f>
        <v/>
      </c>
      <c r="L895" s="188">
        <v>3.5500000000000003</v>
      </c>
      <c r="M895" s="188" t="s">
        <v>2722</v>
      </c>
      <c r="N895" s="188" t="s">
        <v>1621</v>
      </c>
      <c r="O895">
        <v>897</v>
      </c>
      <c r="P895">
        <f>_xlfn.XLOOKUP(A895,'[1]Classic Net to delete'!D:D,'[1]Classic Net to delete'!AA:AA,0)</f>
        <v>1018</v>
      </c>
    </row>
    <row r="896" spans="1:16" x14ac:dyDescent="0.25">
      <c r="A896" t="s">
        <v>2725</v>
      </c>
      <c r="B896" t="s">
        <v>2726</v>
      </c>
      <c r="C896">
        <v>14.23</v>
      </c>
      <c r="D896" t="s">
        <v>1620</v>
      </c>
      <c r="E896" t="str">
        <f>CONCATENATE(J896,". ",N896)</f>
        <v>01. Event, Canteen &amp; Catering Equipment</v>
      </c>
      <c r="F896">
        <v>75</v>
      </c>
      <c r="G896" t="b">
        <v>1</v>
      </c>
      <c r="H896">
        <v>1039</v>
      </c>
      <c r="J896" s="193" t="s">
        <v>20</v>
      </c>
      <c r="K896" s="188" t="str">
        <f>IFERROR(_xlfn.XLOOKUP(A896,[1]Fleet!A:A,[1]Fleet!E:E,""),"")</f>
        <v/>
      </c>
      <c r="L896" s="188">
        <v>13.3</v>
      </c>
      <c r="M896" s="188" t="s">
        <v>2727</v>
      </c>
      <c r="N896" s="188" t="s">
        <v>1621</v>
      </c>
      <c r="O896">
        <v>895</v>
      </c>
      <c r="P896">
        <f>_xlfn.XLOOKUP(A896,'[1]Classic Net to delete'!D:D,'[1]Classic Net to delete'!AA:AA,0)</f>
        <v>1039</v>
      </c>
    </row>
    <row r="897" spans="1:16" x14ac:dyDescent="0.25">
      <c r="A897" t="s">
        <v>2723</v>
      </c>
      <c r="B897" t="s">
        <v>2724</v>
      </c>
      <c r="C897">
        <v>6.26</v>
      </c>
      <c r="D897" t="s">
        <v>1620</v>
      </c>
      <c r="E897" t="str">
        <f>CONCATENATE(J897,". ",N897)</f>
        <v>01. Event, Canteen &amp; Catering Equipment</v>
      </c>
      <c r="F897">
        <v>75</v>
      </c>
      <c r="G897" t="b">
        <v>1</v>
      </c>
      <c r="H897">
        <v>1040</v>
      </c>
      <c r="J897" s="193" t="s">
        <v>20</v>
      </c>
      <c r="K897" s="188" t="str">
        <f>IFERROR(_xlfn.XLOOKUP(A897,[1]Fleet!A:A,[1]Fleet!E:E,""),"")</f>
        <v/>
      </c>
      <c r="L897" s="188">
        <v>5.8500000000000005</v>
      </c>
      <c r="M897" s="188" t="s">
        <v>2724</v>
      </c>
      <c r="N897" s="188" t="s">
        <v>1621</v>
      </c>
      <c r="O897">
        <v>896</v>
      </c>
      <c r="P897">
        <f>_xlfn.XLOOKUP(A897,'[1]Classic Net to delete'!D:D,'[1]Classic Net to delete'!AA:AA,0)</f>
        <v>1040</v>
      </c>
    </row>
    <row r="898" spans="1:16" x14ac:dyDescent="0.25">
      <c r="A898" t="s">
        <v>1618</v>
      </c>
      <c r="B898" t="s">
        <v>1619</v>
      </c>
      <c r="C898">
        <v>45.15</v>
      </c>
      <c r="D898" t="s">
        <v>1620</v>
      </c>
      <c r="E898" t="str">
        <f>CONCATENATE(J898,". ",N898)</f>
        <v>01. Event, Canteen &amp; Catering Equipment</v>
      </c>
      <c r="F898">
        <v>75</v>
      </c>
      <c r="G898" t="b">
        <v>1</v>
      </c>
      <c r="H898">
        <v>1045</v>
      </c>
      <c r="J898" s="193" t="s">
        <v>20</v>
      </c>
      <c r="K898" s="188">
        <f>IFERROR(_xlfn.XLOOKUP(A898,[1]Fleet!A:A,[1]Fleet!E:E,""),"")</f>
        <v>1</v>
      </c>
      <c r="L898" s="188">
        <v>42.2</v>
      </c>
      <c r="M898" s="188" t="s">
        <v>1619</v>
      </c>
      <c r="N898" s="188" t="s">
        <v>1621</v>
      </c>
      <c r="O898">
        <v>899</v>
      </c>
      <c r="P898">
        <f>_xlfn.XLOOKUP(A898,'[1]Classic Net to delete'!D:D,'[1]Classic Net to delete'!AA:AA,0)</f>
        <v>1045</v>
      </c>
    </row>
    <row r="899" spans="1:16" x14ac:dyDescent="0.25">
      <c r="A899" t="s">
        <v>1622</v>
      </c>
      <c r="B899" t="s">
        <v>1623</v>
      </c>
      <c r="C899">
        <v>0</v>
      </c>
      <c r="D899" t="s">
        <v>1620</v>
      </c>
      <c r="E899" t="str">
        <f>CONCATENATE(J899,". ",N899)</f>
        <v>01. Event, Canteen &amp; Catering Equipment</v>
      </c>
      <c r="F899">
        <v>75</v>
      </c>
      <c r="G899" t="b">
        <v>0</v>
      </c>
      <c r="H899">
        <v>1046</v>
      </c>
      <c r="J899" s="193" t="s">
        <v>20</v>
      </c>
      <c r="K899" s="188" t="str">
        <f>IFERROR(_xlfn.XLOOKUP(A899,[1]Fleet!A:A,[1]Fleet!E:E,""),"")</f>
        <v/>
      </c>
      <c r="L899" s="188">
        <v>42.5</v>
      </c>
      <c r="M899" s="188" t="s">
        <v>1624</v>
      </c>
      <c r="N899" s="188" t="s">
        <v>1621</v>
      </c>
      <c r="O899">
        <v>898</v>
      </c>
      <c r="P899">
        <f>_xlfn.XLOOKUP(A899,'[1]Classic Net to delete'!D:D,'[1]Classic Net to delete'!AA:AA,0)</f>
        <v>1046</v>
      </c>
    </row>
    <row r="900" spans="1:16" x14ac:dyDescent="0.25">
      <c r="A900" t="s">
        <v>2734</v>
      </c>
      <c r="B900" t="s">
        <v>2735</v>
      </c>
      <c r="C900">
        <v>12.950000000000001</v>
      </c>
      <c r="D900" t="s">
        <v>1620</v>
      </c>
      <c r="E900" t="str">
        <f>CONCATENATE(J900,". ",N900)</f>
        <v>01. Event, Canteen &amp; Catering Equipment</v>
      </c>
      <c r="F900">
        <v>75</v>
      </c>
      <c r="G900" t="b">
        <v>1</v>
      </c>
      <c r="H900">
        <v>1047</v>
      </c>
      <c r="J900" s="193" t="s">
        <v>20</v>
      </c>
      <c r="K900" s="188" t="str">
        <f>IFERROR(_xlfn.XLOOKUP(A900,[1]Fleet!A:A,[1]Fleet!E:E,""),"")</f>
        <v/>
      </c>
      <c r="L900" s="188">
        <v>12.100000000000001</v>
      </c>
      <c r="M900" s="188" t="s">
        <v>2735</v>
      </c>
      <c r="N900" s="188" t="s">
        <v>1621</v>
      </c>
      <c r="O900">
        <v>893</v>
      </c>
      <c r="P900">
        <f>_xlfn.XLOOKUP(A900,'[1]Classic Net to delete'!D:D,'[1]Classic Net to delete'!AA:AA,0)</f>
        <v>1047</v>
      </c>
    </row>
    <row r="901" spans="1:16" x14ac:dyDescent="0.25">
      <c r="A901" t="s">
        <v>2732</v>
      </c>
      <c r="B901" t="s">
        <v>2733</v>
      </c>
      <c r="C901">
        <v>28.36</v>
      </c>
      <c r="D901" t="s">
        <v>1620</v>
      </c>
      <c r="E901" t="str">
        <f>CONCATENATE(J901,". ",N901)</f>
        <v>01. Event, Canteen &amp; Catering Equipment</v>
      </c>
      <c r="F901">
        <v>75</v>
      </c>
      <c r="G901" t="b">
        <v>1</v>
      </c>
      <c r="H901">
        <v>1048</v>
      </c>
      <c r="J901" s="193" t="s">
        <v>20</v>
      </c>
      <c r="K901" s="188" t="str">
        <f>IFERROR(_xlfn.XLOOKUP(A901,[1]Fleet!A:A,[1]Fleet!E:E,""),"")</f>
        <v/>
      </c>
      <c r="L901" s="188">
        <v>26.5</v>
      </c>
      <c r="M901" s="188" t="s">
        <v>2733</v>
      </c>
      <c r="N901" s="188" t="s">
        <v>1621</v>
      </c>
      <c r="O901">
        <v>894</v>
      </c>
      <c r="P901">
        <f>_xlfn.XLOOKUP(A901,'[1]Classic Net to delete'!D:D,'[1]Classic Net to delete'!AA:AA,0)</f>
        <v>1048</v>
      </c>
    </row>
    <row r="902" spans="1:16" x14ac:dyDescent="0.25">
      <c r="A902" t="s">
        <v>1625</v>
      </c>
      <c r="B902" t="s">
        <v>1626</v>
      </c>
      <c r="C902">
        <v>0</v>
      </c>
      <c r="D902" t="s">
        <v>1620</v>
      </c>
      <c r="E902" t="str">
        <f>CONCATENATE(J902,". ",N902)</f>
        <v>01. Event, Canteen &amp; Catering Equipment</v>
      </c>
      <c r="F902">
        <v>75</v>
      </c>
      <c r="G902" t="b">
        <v>0</v>
      </c>
      <c r="H902">
        <v>1049</v>
      </c>
      <c r="J902" s="193" t="s">
        <v>20</v>
      </c>
      <c r="K902" s="188">
        <f>IFERROR(_xlfn.XLOOKUP(A902,[1]Fleet!A:A,[1]Fleet!E:E,""),"")</f>
        <v>0</v>
      </c>
      <c r="L902" s="188">
        <v>97.600000000000009</v>
      </c>
      <c r="M902" s="188" t="s">
        <v>1627</v>
      </c>
      <c r="N902" s="188" t="s">
        <v>1621</v>
      </c>
      <c r="O902">
        <v>900</v>
      </c>
      <c r="P902">
        <f>_xlfn.XLOOKUP(A902,'[1]Classic Net to delete'!D:D,'[1]Classic Net to delete'!AA:AA,0)</f>
        <v>1049</v>
      </c>
    </row>
    <row r="903" spans="1:16" x14ac:dyDescent="0.25">
      <c r="A903" t="s">
        <v>2736</v>
      </c>
      <c r="B903" t="s">
        <v>2737</v>
      </c>
      <c r="C903">
        <v>202.5</v>
      </c>
      <c r="D903" t="s">
        <v>1620</v>
      </c>
      <c r="E903" t="str">
        <f>CONCATENATE(J903,". ",N903)</f>
        <v>01. Event, Canteen &amp; Catering Equipment</v>
      </c>
      <c r="F903">
        <v>75</v>
      </c>
      <c r="G903" t="b">
        <v>1</v>
      </c>
      <c r="H903">
        <v>1050</v>
      </c>
      <c r="J903" s="193" t="s">
        <v>20</v>
      </c>
      <c r="K903" s="188" t="str">
        <f>IFERROR(_xlfn.XLOOKUP(A903,[1]Fleet!A:A,[1]Fleet!E:E,""),"")</f>
        <v/>
      </c>
      <c r="L903" s="188">
        <v>189.25</v>
      </c>
      <c r="M903" s="188" t="s">
        <v>2738</v>
      </c>
      <c r="N903" s="188" t="s">
        <v>1621</v>
      </c>
      <c r="O903">
        <v>892</v>
      </c>
      <c r="P903">
        <f>_xlfn.XLOOKUP(A903,'[1]Classic Net to delete'!D:D,'[1]Classic Net to delete'!AA:AA,0)</f>
        <v>1050</v>
      </c>
    </row>
    <row r="904" spans="1:16" x14ac:dyDescent="0.25">
      <c r="A904" t="s">
        <v>2739</v>
      </c>
      <c r="B904" t="s">
        <v>2740</v>
      </c>
      <c r="C904">
        <v>135.09</v>
      </c>
      <c r="D904" t="s">
        <v>1620</v>
      </c>
      <c r="E904" t="str">
        <f>CONCATENATE(J904,". ",N904)</f>
        <v>01. Event, Canteen &amp; Catering Equipment</v>
      </c>
      <c r="F904">
        <v>75</v>
      </c>
      <c r="G904" t="b">
        <v>1</v>
      </c>
      <c r="H904">
        <v>1051</v>
      </c>
      <c r="J904" s="193" t="s">
        <v>20</v>
      </c>
      <c r="K904" s="188" t="str">
        <f>IFERROR(_xlfn.XLOOKUP(A904,[1]Fleet!A:A,[1]Fleet!E:E,""),"")</f>
        <v/>
      </c>
      <c r="L904" s="188">
        <v>126.25</v>
      </c>
      <c r="M904" s="188" t="s">
        <v>2741</v>
      </c>
      <c r="N904" s="188" t="s">
        <v>1621</v>
      </c>
      <c r="O904">
        <v>891</v>
      </c>
      <c r="P904">
        <f>_xlfn.XLOOKUP(A904,'[1]Classic Net to delete'!D:D,'[1]Classic Net to delete'!AA:AA,0)</f>
        <v>1051</v>
      </c>
    </row>
    <row r="905" spans="1:16" x14ac:dyDescent="0.25">
      <c r="A905" t="s">
        <v>2748</v>
      </c>
      <c r="B905" t="s">
        <v>2749</v>
      </c>
      <c r="C905">
        <v>19.900000000000002</v>
      </c>
      <c r="D905" t="s">
        <v>1620</v>
      </c>
      <c r="E905" t="str">
        <f>CONCATENATE(J905,". ",N905)</f>
        <v>02. Office Storage</v>
      </c>
      <c r="F905">
        <v>75</v>
      </c>
      <c r="G905" t="b">
        <v>1</v>
      </c>
      <c r="H905">
        <v>1017</v>
      </c>
      <c r="J905" s="193" t="s">
        <v>189</v>
      </c>
      <c r="K905" s="188" t="str">
        <f>IFERROR(_xlfn.XLOOKUP(A905,[1]Fleet!A:A,[1]Fleet!E:E,""),"")</f>
        <v/>
      </c>
      <c r="L905" s="188">
        <v>18.600000000000001</v>
      </c>
      <c r="M905" s="188" t="s">
        <v>2750</v>
      </c>
      <c r="N905" s="188" t="s">
        <v>2747</v>
      </c>
      <c r="O905">
        <v>913</v>
      </c>
      <c r="P905">
        <f>_xlfn.XLOOKUP(A905,'[1]Classic Net to delete'!D:D,'[1]Classic Net to delete'!AA:AA,0)</f>
        <v>1017</v>
      </c>
    </row>
    <row r="906" spans="1:16" x14ac:dyDescent="0.25">
      <c r="A906" t="s">
        <v>2751</v>
      </c>
      <c r="B906" t="s">
        <v>2752</v>
      </c>
      <c r="C906">
        <v>6.96</v>
      </c>
      <c r="D906" t="s">
        <v>1620</v>
      </c>
      <c r="E906" t="str">
        <f>CONCATENATE(J906,". ",N906)</f>
        <v>02. Office Storage</v>
      </c>
      <c r="F906">
        <v>75</v>
      </c>
      <c r="G906" t="b">
        <v>1</v>
      </c>
      <c r="H906">
        <v>1019</v>
      </c>
      <c r="J906" s="193" t="s">
        <v>189</v>
      </c>
      <c r="K906" s="188" t="str">
        <f>IFERROR(_xlfn.XLOOKUP(A906,[1]Fleet!A:A,[1]Fleet!E:E,""),"")</f>
        <v/>
      </c>
      <c r="L906" s="188">
        <v>6.5</v>
      </c>
      <c r="M906" s="188" t="s">
        <v>2752</v>
      </c>
      <c r="N906" s="188" t="s">
        <v>2747</v>
      </c>
      <c r="O906">
        <v>912</v>
      </c>
      <c r="P906">
        <f>_xlfn.XLOOKUP(A906,'[1]Classic Net to delete'!D:D,'[1]Classic Net to delete'!AA:AA,0)</f>
        <v>1019</v>
      </c>
    </row>
    <row r="907" spans="1:16" x14ac:dyDescent="0.25">
      <c r="A907" t="s">
        <v>2753</v>
      </c>
      <c r="B907" t="s">
        <v>2754</v>
      </c>
      <c r="C907">
        <v>19.900000000000002</v>
      </c>
      <c r="D907" t="s">
        <v>1620</v>
      </c>
      <c r="E907" t="str">
        <f>CONCATENATE(J907,". ",N907)</f>
        <v>02. Office Storage</v>
      </c>
      <c r="F907">
        <v>75</v>
      </c>
      <c r="G907" t="b">
        <v>1</v>
      </c>
      <c r="H907">
        <v>1020</v>
      </c>
      <c r="J907" s="193" t="s">
        <v>189</v>
      </c>
      <c r="K907" s="188" t="str">
        <f>IFERROR(_xlfn.XLOOKUP(A907,[1]Fleet!A:A,[1]Fleet!E:E,""),"")</f>
        <v/>
      </c>
      <c r="L907" s="188">
        <v>18.600000000000001</v>
      </c>
      <c r="M907" s="188" t="s">
        <v>2755</v>
      </c>
      <c r="N907" s="188" t="s">
        <v>2747</v>
      </c>
      <c r="O907">
        <v>911</v>
      </c>
      <c r="P907">
        <f>_xlfn.XLOOKUP(A907,'[1]Classic Net to delete'!D:D,'[1]Classic Net to delete'!AA:AA,0)</f>
        <v>1020</v>
      </c>
    </row>
    <row r="908" spans="1:16" x14ac:dyDescent="0.25">
      <c r="A908" t="s">
        <v>2744</v>
      </c>
      <c r="B908" t="s">
        <v>2745</v>
      </c>
      <c r="C908">
        <v>23.97</v>
      </c>
      <c r="D908" t="s">
        <v>1620</v>
      </c>
      <c r="E908" t="str">
        <f>CONCATENATE(J908,". ",N908)</f>
        <v>02. Office Storage</v>
      </c>
      <c r="F908">
        <v>75</v>
      </c>
      <c r="G908" t="b">
        <v>1</v>
      </c>
      <c r="H908">
        <v>1021</v>
      </c>
      <c r="J908" s="193" t="s">
        <v>189</v>
      </c>
      <c r="K908" s="188" t="str">
        <f>IFERROR(_xlfn.XLOOKUP(A908,[1]Fleet!A:A,[1]Fleet!E:E,""),"")</f>
        <v/>
      </c>
      <c r="L908" s="188">
        <v>22.400000000000002</v>
      </c>
      <c r="M908" s="188" t="s">
        <v>2746</v>
      </c>
      <c r="N908" s="188" t="s">
        <v>2747</v>
      </c>
      <c r="O908">
        <v>914</v>
      </c>
      <c r="P908">
        <f>_xlfn.XLOOKUP(A908,'[1]Classic Net to delete'!D:D,'[1]Classic Net to delete'!AA:AA,0)</f>
        <v>1021</v>
      </c>
    </row>
    <row r="909" spans="1:16" x14ac:dyDescent="0.25">
      <c r="A909" t="s">
        <v>2759</v>
      </c>
      <c r="B909" t="s">
        <v>2760</v>
      </c>
      <c r="C909">
        <v>42.59</v>
      </c>
      <c r="D909" t="s">
        <v>1620</v>
      </c>
      <c r="E909" t="str">
        <f>CONCATENATE(J909,". ",N909)</f>
        <v>02. Office Storage</v>
      </c>
      <c r="F909">
        <v>75</v>
      </c>
      <c r="G909" t="b">
        <v>1</v>
      </c>
      <c r="H909">
        <v>1024</v>
      </c>
      <c r="J909" s="193" t="s">
        <v>189</v>
      </c>
      <c r="K909" s="188" t="str">
        <f>IFERROR(_xlfn.XLOOKUP(A909,[1]Fleet!A:A,[1]Fleet!E:E,""),"")</f>
        <v/>
      </c>
      <c r="L909" s="188">
        <v>39.800000000000004</v>
      </c>
      <c r="M909" s="188" t="s">
        <v>2761</v>
      </c>
      <c r="N909" s="188" t="s">
        <v>2747</v>
      </c>
      <c r="O909">
        <v>909</v>
      </c>
      <c r="P909">
        <f>_xlfn.XLOOKUP(A909,'[1]Classic Net to delete'!D:D,'[1]Classic Net to delete'!AA:AA,0)</f>
        <v>1024</v>
      </c>
    </row>
    <row r="910" spans="1:16" x14ac:dyDescent="0.25">
      <c r="A910" t="s">
        <v>2756</v>
      </c>
      <c r="B910" t="s">
        <v>2757</v>
      </c>
      <c r="C910">
        <v>39.75</v>
      </c>
      <c r="D910" t="s">
        <v>1620</v>
      </c>
      <c r="E910" t="str">
        <f>CONCATENATE(J910,". ",N910)</f>
        <v>02. Office Storage</v>
      </c>
      <c r="F910">
        <v>75</v>
      </c>
      <c r="G910" t="b">
        <v>1</v>
      </c>
      <c r="H910">
        <v>1025</v>
      </c>
      <c r="J910" s="193" t="s">
        <v>189</v>
      </c>
      <c r="K910" s="188" t="str">
        <f>IFERROR(_xlfn.XLOOKUP(A910,[1]Fleet!A:A,[1]Fleet!E:E,""),"")</f>
        <v/>
      </c>
      <c r="L910" s="188">
        <v>37.15</v>
      </c>
      <c r="M910" s="188" t="s">
        <v>2758</v>
      </c>
      <c r="N910" s="188" t="s">
        <v>2747</v>
      </c>
      <c r="O910">
        <v>910</v>
      </c>
      <c r="P910">
        <f>_xlfn.XLOOKUP(A910,'[1]Classic Net to delete'!D:D,'[1]Classic Net to delete'!AA:AA,0)</f>
        <v>1025</v>
      </c>
    </row>
    <row r="911" spans="1:16" x14ac:dyDescent="0.25">
      <c r="A911" t="s">
        <v>2768</v>
      </c>
      <c r="B911" t="s">
        <v>2769</v>
      </c>
      <c r="C911">
        <v>34.130000000000003</v>
      </c>
      <c r="D911" t="s">
        <v>1620</v>
      </c>
      <c r="E911" t="str">
        <f>CONCATENATE(J911,". ",N911)</f>
        <v>02. Office Storage</v>
      </c>
      <c r="F911">
        <v>75</v>
      </c>
      <c r="G911" t="b">
        <v>1</v>
      </c>
      <c r="H911">
        <v>1026</v>
      </c>
      <c r="J911" s="193" t="s">
        <v>189</v>
      </c>
      <c r="K911" s="188" t="str">
        <f>IFERROR(_xlfn.XLOOKUP(A911,[1]Fleet!A:A,[1]Fleet!E:E,""),"")</f>
        <v/>
      </c>
      <c r="L911" s="188">
        <v>31.900000000000002</v>
      </c>
      <c r="M911" s="188" t="s">
        <v>2770</v>
      </c>
      <c r="N911" s="188" t="s">
        <v>2747</v>
      </c>
      <c r="O911">
        <v>906</v>
      </c>
      <c r="P911">
        <f>_xlfn.XLOOKUP(A911,'[1]Classic Net to delete'!D:D,'[1]Classic Net to delete'!AA:AA,0)</f>
        <v>1026</v>
      </c>
    </row>
    <row r="912" spans="1:16" x14ac:dyDescent="0.25">
      <c r="A912" t="s">
        <v>2765</v>
      </c>
      <c r="B912" t="s">
        <v>2766</v>
      </c>
      <c r="C912">
        <v>28.36</v>
      </c>
      <c r="D912" t="s">
        <v>1620</v>
      </c>
      <c r="E912" t="str">
        <f>CONCATENATE(J912,". ",N912)</f>
        <v>02. Office Storage</v>
      </c>
      <c r="F912">
        <v>75</v>
      </c>
      <c r="G912" t="b">
        <v>1</v>
      </c>
      <c r="H912">
        <v>1027</v>
      </c>
      <c r="J912" s="193" t="s">
        <v>189</v>
      </c>
      <c r="K912" s="188" t="str">
        <f>IFERROR(_xlfn.XLOOKUP(A912,[1]Fleet!A:A,[1]Fleet!E:E,""),"")</f>
        <v/>
      </c>
      <c r="L912" s="188">
        <v>26.5</v>
      </c>
      <c r="M912" s="188" t="s">
        <v>2767</v>
      </c>
      <c r="N912" s="188" t="s">
        <v>2747</v>
      </c>
      <c r="O912">
        <v>907</v>
      </c>
      <c r="P912">
        <f>_xlfn.XLOOKUP(A912,'[1]Classic Net to delete'!D:D,'[1]Classic Net to delete'!AA:AA,0)</f>
        <v>1027</v>
      </c>
    </row>
    <row r="913" spans="1:16" x14ac:dyDescent="0.25">
      <c r="A913" t="s">
        <v>2762</v>
      </c>
      <c r="B913" t="s">
        <v>2763</v>
      </c>
      <c r="C913">
        <v>22.740000000000002</v>
      </c>
      <c r="D913" t="s">
        <v>1620</v>
      </c>
      <c r="E913" t="str">
        <f>CONCATENATE(J913,". ",N913)</f>
        <v>02. Office Storage</v>
      </c>
      <c r="F913">
        <v>75</v>
      </c>
      <c r="G913" t="b">
        <v>1</v>
      </c>
      <c r="H913">
        <v>1028</v>
      </c>
      <c r="J913" s="193" t="s">
        <v>189</v>
      </c>
      <c r="K913" s="188" t="str">
        <f>IFERROR(_xlfn.XLOOKUP(A913,[1]Fleet!A:A,[1]Fleet!E:E,""),"")</f>
        <v/>
      </c>
      <c r="L913" s="188">
        <v>21.25</v>
      </c>
      <c r="M913" s="188" t="s">
        <v>2764</v>
      </c>
      <c r="N913" s="188" t="s">
        <v>2747</v>
      </c>
      <c r="O913">
        <v>908</v>
      </c>
      <c r="P913">
        <f>_xlfn.XLOOKUP(A913,'[1]Classic Net to delete'!D:D,'[1]Classic Net to delete'!AA:AA,0)</f>
        <v>1028</v>
      </c>
    </row>
    <row r="914" spans="1:16" x14ac:dyDescent="0.25">
      <c r="A914" t="s">
        <v>2771</v>
      </c>
      <c r="B914" t="s">
        <v>2772</v>
      </c>
      <c r="C914">
        <v>63.77</v>
      </c>
      <c r="D914" t="s">
        <v>1620</v>
      </c>
      <c r="E914" t="str">
        <f>CONCATENATE(J914,". ",N914)</f>
        <v>02. Office Storage</v>
      </c>
      <c r="F914">
        <v>75</v>
      </c>
      <c r="G914" t="b">
        <v>1</v>
      </c>
      <c r="H914">
        <v>1029</v>
      </c>
      <c r="J914" s="193" t="s">
        <v>189</v>
      </c>
      <c r="K914" s="188" t="str">
        <f>IFERROR(_xlfn.XLOOKUP(A914,[1]Fleet!A:A,[1]Fleet!E:E,""),"")</f>
        <v/>
      </c>
      <c r="L914" s="188">
        <v>59.6</v>
      </c>
      <c r="M914" s="188" t="s">
        <v>2773</v>
      </c>
      <c r="N914" s="188" t="s">
        <v>2747</v>
      </c>
      <c r="O914">
        <v>905</v>
      </c>
      <c r="P914">
        <f>_xlfn.XLOOKUP(A914,'[1]Classic Net to delete'!D:D,'[1]Classic Net to delete'!AA:AA,0)</f>
        <v>1029</v>
      </c>
    </row>
    <row r="915" spans="1:16" x14ac:dyDescent="0.25">
      <c r="A915" t="s">
        <v>2774</v>
      </c>
      <c r="B915" t="s">
        <v>2775</v>
      </c>
      <c r="C915">
        <v>7.92</v>
      </c>
      <c r="D915" t="s">
        <v>1620</v>
      </c>
      <c r="E915" t="str">
        <f>CONCATENATE(J915,". ",N915)</f>
        <v>02. Office Storage</v>
      </c>
      <c r="F915">
        <v>75</v>
      </c>
      <c r="G915" t="b">
        <v>1</v>
      </c>
      <c r="H915">
        <v>1030</v>
      </c>
      <c r="J915" s="193" t="s">
        <v>189</v>
      </c>
      <c r="K915" s="188" t="str">
        <f>IFERROR(_xlfn.XLOOKUP(A915,[1]Fleet!A:A,[1]Fleet!E:E,""),"")</f>
        <v/>
      </c>
      <c r="L915" s="188">
        <v>7.4</v>
      </c>
      <c r="M915" s="188" t="s">
        <v>2776</v>
      </c>
      <c r="N915" s="188" t="s">
        <v>2747</v>
      </c>
      <c r="O915">
        <v>904</v>
      </c>
      <c r="P915">
        <f>_xlfn.XLOOKUP(A915,'[1]Classic Net to delete'!D:D,'[1]Classic Net to delete'!AA:AA,0)</f>
        <v>1030</v>
      </c>
    </row>
    <row r="916" spans="1:16" x14ac:dyDescent="0.25">
      <c r="A916" t="s">
        <v>2777</v>
      </c>
      <c r="B916" t="s">
        <v>2778</v>
      </c>
      <c r="C916">
        <v>17.07</v>
      </c>
      <c r="D916" t="s">
        <v>1620</v>
      </c>
      <c r="E916" t="str">
        <f>CONCATENATE(J916,". ",N916)</f>
        <v>03. Lockers</v>
      </c>
      <c r="F916">
        <v>75</v>
      </c>
      <c r="G916" t="b">
        <v>1</v>
      </c>
      <c r="H916">
        <v>1034</v>
      </c>
      <c r="J916" s="193" t="s">
        <v>188</v>
      </c>
      <c r="K916" s="188" t="str">
        <f>IFERROR(_xlfn.XLOOKUP(A916,[1]Fleet!A:A,[1]Fleet!E:E,""),"")</f>
        <v/>
      </c>
      <c r="L916" s="188">
        <v>15.950000000000001</v>
      </c>
      <c r="M916" s="188" t="s">
        <v>2778</v>
      </c>
      <c r="N916" s="188" t="s">
        <v>2779</v>
      </c>
      <c r="O916">
        <v>903</v>
      </c>
      <c r="P916">
        <f>_xlfn.XLOOKUP(A916,'[1]Classic Net to delete'!D:D,'[1]Classic Net to delete'!AA:AA,0)</f>
        <v>1034</v>
      </c>
    </row>
    <row r="917" spans="1:16" x14ac:dyDescent="0.25">
      <c r="A917" t="s">
        <v>2780</v>
      </c>
      <c r="B917" t="s">
        <v>2781</v>
      </c>
      <c r="C917">
        <v>23.97</v>
      </c>
      <c r="D917" t="s">
        <v>1620</v>
      </c>
      <c r="E917" t="str">
        <f>CONCATENATE(J917,". ",N917)</f>
        <v>03. Lockers</v>
      </c>
      <c r="F917">
        <v>75</v>
      </c>
      <c r="G917" t="b">
        <v>1</v>
      </c>
      <c r="H917">
        <v>1035</v>
      </c>
      <c r="J917" s="193" t="s">
        <v>188</v>
      </c>
      <c r="K917" s="188" t="str">
        <f>IFERROR(_xlfn.XLOOKUP(A917,[1]Fleet!A:A,[1]Fleet!E:E,""),"")</f>
        <v/>
      </c>
      <c r="L917" s="188">
        <v>22.400000000000002</v>
      </c>
      <c r="M917" s="188" t="s">
        <v>2781</v>
      </c>
      <c r="N917" s="188" t="s">
        <v>2779</v>
      </c>
      <c r="O917">
        <v>902</v>
      </c>
      <c r="P917">
        <f>_xlfn.XLOOKUP(A917,'[1]Classic Net to delete'!D:D,'[1]Classic Net to delete'!AA:AA,0)</f>
        <v>1035</v>
      </c>
    </row>
    <row r="918" spans="1:16" x14ac:dyDescent="0.25">
      <c r="A918" t="s">
        <v>2782</v>
      </c>
      <c r="B918" t="s">
        <v>2783</v>
      </c>
      <c r="C918">
        <v>23.97</v>
      </c>
      <c r="D918" t="s">
        <v>1620</v>
      </c>
      <c r="E918" t="str">
        <f>CONCATENATE(J918,". ",N918)</f>
        <v>03. Lockers</v>
      </c>
      <c r="F918">
        <v>75</v>
      </c>
      <c r="G918" t="b">
        <v>1</v>
      </c>
      <c r="H918">
        <v>1036</v>
      </c>
      <c r="J918" s="193" t="s">
        <v>188</v>
      </c>
      <c r="K918" s="188" t="str">
        <f>IFERROR(_xlfn.XLOOKUP(A918,[1]Fleet!A:A,[1]Fleet!E:E,""),"")</f>
        <v/>
      </c>
      <c r="L918" s="188">
        <v>22.400000000000002</v>
      </c>
      <c r="M918" s="188" t="s">
        <v>2783</v>
      </c>
      <c r="N918" s="188" t="s">
        <v>2779</v>
      </c>
      <c r="O918">
        <v>901</v>
      </c>
      <c r="P918">
        <f>_xlfn.XLOOKUP(A918,'[1]Classic Net to delete'!D:D,'[1]Classic Net to delete'!AA:AA,0)</f>
        <v>1036</v>
      </c>
    </row>
    <row r="919" spans="1:16" x14ac:dyDescent="0.25">
      <c r="A919" t="s">
        <v>1249</v>
      </c>
      <c r="B919" t="s">
        <v>1250</v>
      </c>
      <c r="C919">
        <v>194.04</v>
      </c>
      <c r="D919" t="s">
        <v>1246</v>
      </c>
      <c r="E919" t="str">
        <f>CONCATENATE(J919,". ",N919)</f>
        <v>. Floor Machines</v>
      </c>
      <c r="F919">
        <v>75</v>
      </c>
      <c r="G919" t="b">
        <v>0</v>
      </c>
      <c r="H919">
        <v>0</v>
      </c>
      <c r="K919" s="188">
        <f>IFERROR(_xlfn.XLOOKUP(A919,[1]Fleet!A:A,[1]Fleet!E:E,""),"")</f>
        <v>8</v>
      </c>
      <c r="L919" s="188" t="s">
        <v>76</v>
      </c>
      <c r="M919" s="188" t="s">
        <v>76</v>
      </c>
      <c r="N919" s="188" t="s">
        <v>1251</v>
      </c>
      <c r="O919">
        <v>920</v>
      </c>
      <c r="P919">
        <f>_xlfn.XLOOKUP(A919,'[1]Classic Net to delete'!D:D,'[1]Classic Net to delete'!AA:AA,0)</f>
        <v>0</v>
      </c>
    </row>
    <row r="920" spans="1:16" x14ac:dyDescent="0.25">
      <c r="A920" t="s">
        <v>1256</v>
      </c>
      <c r="B920" t="s">
        <v>1257</v>
      </c>
      <c r="C920">
        <v>80.790000000000006</v>
      </c>
      <c r="D920" t="s">
        <v>1246</v>
      </c>
      <c r="E920" t="str">
        <f>CONCATENATE(J920,". ",N920)</f>
        <v>01. Grinders</v>
      </c>
      <c r="F920">
        <v>75</v>
      </c>
      <c r="G920" t="b">
        <v>1</v>
      </c>
      <c r="H920">
        <v>708</v>
      </c>
      <c r="J920" s="193" t="s">
        <v>20</v>
      </c>
      <c r="K920" s="188">
        <f>IFERROR(_xlfn.XLOOKUP(A920,[1]Fleet!A:A,[1]Fleet!E:E,""),"")</f>
        <v>9</v>
      </c>
      <c r="L920" s="188">
        <v>75.5</v>
      </c>
      <c r="M920" s="188" t="s">
        <v>1257</v>
      </c>
      <c r="N920" s="188" t="s">
        <v>1258</v>
      </c>
      <c r="O920">
        <v>926</v>
      </c>
      <c r="P920">
        <f>_xlfn.XLOOKUP(A920,'[1]Classic Net to delete'!D:D,'[1]Classic Net to delete'!AA:AA,0)</f>
        <v>708</v>
      </c>
    </row>
    <row r="921" spans="1:16" x14ac:dyDescent="0.25">
      <c r="A921" t="s">
        <v>1261</v>
      </c>
      <c r="B921" t="s">
        <v>1262</v>
      </c>
      <c r="C921">
        <v>198.1</v>
      </c>
      <c r="D921" t="s">
        <v>1246</v>
      </c>
      <c r="E921" t="str">
        <f>CONCATENATE(J921,". ",N921)</f>
        <v>01. Grinders</v>
      </c>
      <c r="F921">
        <v>75</v>
      </c>
      <c r="G921" t="b">
        <v>1</v>
      </c>
      <c r="H921">
        <v>711</v>
      </c>
      <c r="J921" s="193" t="s">
        <v>20</v>
      </c>
      <c r="K921" s="188">
        <f>IFERROR(_xlfn.XLOOKUP(A921,[1]Fleet!A:A,[1]Fleet!E:E,""),"")</f>
        <v>10</v>
      </c>
      <c r="L921" s="188">
        <v>141.5</v>
      </c>
      <c r="M921" s="188" t="s">
        <v>1263</v>
      </c>
      <c r="N921" s="188" t="s">
        <v>1258</v>
      </c>
      <c r="O921">
        <v>928</v>
      </c>
      <c r="P921">
        <f>_xlfn.XLOOKUP(A921,'[1]Classic Net to delete'!D:D,'[1]Classic Net to delete'!AA:AA,0)</f>
        <v>711</v>
      </c>
    </row>
    <row r="922" spans="1:16" x14ac:dyDescent="0.25">
      <c r="A922" t="s">
        <v>1264</v>
      </c>
      <c r="B922" t="s">
        <v>1265</v>
      </c>
      <c r="C922">
        <v>167.1</v>
      </c>
      <c r="D922" t="s">
        <v>1246</v>
      </c>
      <c r="E922" t="str">
        <f>CONCATENATE(J922,". ",N922)</f>
        <v>01. Grinders</v>
      </c>
      <c r="F922">
        <v>75</v>
      </c>
      <c r="G922" t="b">
        <v>1</v>
      </c>
      <c r="H922">
        <v>712</v>
      </c>
      <c r="J922" s="193" t="s">
        <v>20</v>
      </c>
      <c r="K922" s="188">
        <f>IFERROR(_xlfn.XLOOKUP(A922,[1]Fleet!A:A,[1]Fleet!E:E,""),"")</f>
        <v>10</v>
      </c>
      <c r="L922" s="188">
        <v>149.20000000000002</v>
      </c>
      <c r="M922" s="188" t="s">
        <v>1266</v>
      </c>
      <c r="N922" s="188" t="s">
        <v>1258</v>
      </c>
      <c r="O922">
        <v>922</v>
      </c>
      <c r="P922">
        <f>_xlfn.XLOOKUP(A922,'[1]Classic Net to delete'!D:D,'[1]Classic Net to delete'!AA:AA,0)</f>
        <v>712</v>
      </c>
    </row>
    <row r="923" spans="1:16" x14ac:dyDescent="0.25">
      <c r="A923" t="s">
        <v>2365</v>
      </c>
      <c r="B923" t="s">
        <v>2366</v>
      </c>
      <c r="C923">
        <v>12.36</v>
      </c>
      <c r="D923" t="s">
        <v>1246</v>
      </c>
      <c r="E923" t="str">
        <f>CONCATENATE(J923,". ",N923)</f>
        <v>01. Grinders</v>
      </c>
      <c r="F923">
        <v>75</v>
      </c>
      <c r="G923" t="b">
        <v>1</v>
      </c>
      <c r="H923">
        <v>713</v>
      </c>
      <c r="J923" s="193" t="s">
        <v>20</v>
      </c>
      <c r="K923" s="188" t="str">
        <f>IFERROR(_xlfn.XLOOKUP(A923,[1]Fleet!A:A,[1]Fleet!E:E,""),"")</f>
        <v/>
      </c>
      <c r="L923" s="188">
        <v>11.55</v>
      </c>
      <c r="M923" s="188" t="s">
        <v>2367</v>
      </c>
      <c r="N923" s="188" t="s">
        <v>1258</v>
      </c>
      <c r="O923">
        <v>925</v>
      </c>
      <c r="P923">
        <f>_xlfn.XLOOKUP(A923,'[1]Classic Net to delete'!D:D,'[1]Classic Net to delete'!AA:AA,0)</f>
        <v>713</v>
      </c>
    </row>
    <row r="924" spans="1:16" x14ac:dyDescent="0.25">
      <c r="A924" t="s">
        <v>1267</v>
      </c>
      <c r="B924" t="s">
        <v>1268</v>
      </c>
      <c r="C924">
        <v>35.36</v>
      </c>
      <c r="D924" t="s">
        <v>1246</v>
      </c>
      <c r="E924" t="str">
        <f>CONCATENATE(J924,". ",N924)</f>
        <v>01. Grinders</v>
      </c>
      <c r="F924">
        <v>75</v>
      </c>
      <c r="G924" t="b">
        <v>1</v>
      </c>
      <c r="H924">
        <v>714</v>
      </c>
      <c r="J924" s="193" t="s">
        <v>20</v>
      </c>
      <c r="K924" s="188">
        <f>IFERROR(_xlfn.XLOOKUP(A924,[1]Fleet!A:A,[1]Fleet!E:E,""),"")</f>
        <v>8</v>
      </c>
      <c r="L924" s="188">
        <v>33.050000000000004</v>
      </c>
      <c r="M924" s="188" t="s">
        <v>1269</v>
      </c>
      <c r="N924" s="188" t="s">
        <v>1258</v>
      </c>
      <c r="O924">
        <v>279</v>
      </c>
      <c r="P924">
        <f>_xlfn.XLOOKUP(A924,'[1]Classic Net to delete'!D:D,'[1]Classic Net to delete'!AA:AA,0)</f>
        <v>714</v>
      </c>
    </row>
    <row r="925" spans="1:16" x14ac:dyDescent="0.25">
      <c r="A925" t="s">
        <v>1270</v>
      </c>
      <c r="B925" t="s">
        <v>1271</v>
      </c>
      <c r="C925">
        <v>167.19</v>
      </c>
      <c r="D925" t="s">
        <v>1246</v>
      </c>
      <c r="E925" t="str">
        <f>CONCATENATE(J925,". ",N925)</f>
        <v>01. Grinders</v>
      </c>
      <c r="F925">
        <v>75</v>
      </c>
      <c r="G925" t="b">
        <v>1</v>
      </c>
      <c r="H925">
        <v>715</v>
      </c>
      <c r="J925" s="193" t="s">
        <v>20</v>
      </c>
      <c r="K925" s="188">
        <f>IFERROR(_xlfn.XLOOKUP(A925,[1]Fleet!A:A,[1]Fleet!E:E,""),"")</f>
        <v>23</v>
      </c>
      <c r="L925" s="188">
        <v>156.25</v>
      </c>
      <c r="M925" s="188" t="s">
        <v>1272</v>
      </c>
      <c r="N925" s="188" t="s">
        <v>1258</v>
      </c>
      <c r="O925">
        <v>923</v>
      </c>
      <c r="P925">
        <f>_xlfn.XLOOKUP(A925,'[1]Classic Net to delete'!D:D,'[1]Classic Net to delete'!AA:AA,0)</f>
        <v>715</v>
      </c>
    </row>
    <row r="926" spans="1:16" x14ac:dyDescent="0.25">
      <c r="A926" t="s">
        <v>1259</v>
      </c>
      <c r="B926" t="s">
        <v>1260</v>
      </c>
      <c r="C926">
        <v>72.23</v>
      </c>
      <c r="D926" t="s">
        <v>1246</v>
      </c>
      <c r="E926" t="str">
        <f>CONCATENATE(J926,". ",N926)</f>
        <v>02. Scarifiers, Planer &amp; Strippers</v>
      </c>
      <c r="F926">
        <v>75</v>
      </c>
      <c r="G926" t="b">
        <v>1</v>
      </c>
      <c r="H926">
        <v>719</v>
      </c>
      <c r="J926" s="193" t="s">
        <v>189</v>
      </c>
      <c r="K926" s="188">
        <f>IFERROR(_xlfn.XLOOKUP(A926,[1]Fleet!A:A,[1]Fleet!E:E,""),"")</f>
        <v>3</v>
      </c>
      <c r="L926" s="188">
        <v>67.5</v>
      </c>
      <c r="M926" s="188" t="s">
        <v>1260</v>
      </c>
      <c r="N926" s="188" t="s">
        <v>1248</v>
      </c>
      <c r="O926">
        <v>927</v>
      </c>
      <c r="P926">
        <f>_xlfn.XLOOKUP(A926,'[1]Classic Net to delete'!D:D,'[1]Classic Net to delete'!AA:AA,0)</f>
        <v>719</v>
      </c>
    </row>
    <row r="927" spans="1:16" x14ac:dyDescent="0.25">
      <c r="A927" t="s">
        <v>1244</v>
      </c>
      <c r="B927" t="s">
        <v>1245</v>
      </c>
      <c r="C927">
        <v>194.04</v>
      </c>
      <c r="D927" t="s">
        <v>1246</v>
      </c>
      <c r="E927" t="str">
        <f>CONCATENATE(J927,". ",N927)</f>
        <v>02. Scarifiers, Planer &amp; Strippers</v>
      </c>
      <c r="F927">
        <v>75</v>
      </c>
      <c r="G927" t="b">
        <v>1</v>
      </c>
      <c r="H927">
        <v>720</v>
      </c>
      <c r="J927" s="193" t="s">
        <v>189</v>
      </c>
      <c r="K927" s="188">
        <f>IFERROR(_xlfn.XLOOKUP(A927,[1]Fleet!A:A,[1]Fleet!E:E,""),"")</f>
        <v>13</v>
      </c>
      <c r="L927" s="188">
        <v>181.35000000000002</v>
      </c>
      <c r="M927" s="188" t="s">
        <v>1247</v>
      </c>
      <c r="N927" s="188" t="s">
        <v>1248</v>
      </c>
      <c r="O927">
        <v>919</v>
      </c>
      <c r="P927">
        <f>_xlfn.XLOOKUP(A927,'[1]Classic Net to delete'!D:D,'[1]Classic Net to delete'!AA:AA,0)</f>
        <v>720</v>
      </c>
    </row>
    <row r="928" spans="1:16" x14ac:dyDescent="0.25">
      <c r="A928" t="s">
        <v>1254</v>
      </c>
      <c r="B928" t="s">
        <v>1255</v>
      </c>
      <c r="C928">
        <v>126.21000000000001</v>
      </c>
      <c r="D928" t="s">
        <v>1246</v>
      </c>
      <c r="E928" t="str">
        <f>CONCATENATE(J928,". ",N928)</f>
        <v>02. Scarifiers, Planer &amp; Strippers</v>
      </c>
      <c r="F928">
        <v>75</v>
      </c>
      <c r="G928" t="b">
        <v>1</v>
      </c>
      <c r="H928">
        <v>721</v>
      </c>
      <c r="J928" s="193" t="s">
        <v>189</v>
      </c>
      <c r="K928" s="188">
        <f>IFERROR(_xlfn.XLOOKUP(A928,[1]Fleet!A:A,[1]Fleet!E:E,""),"")</f>
        <v>6</v>
      </c>
      <c r="L928" s="188">
        <v>117.95</v>
      </c>
      <c r="M928" s="188" t="s">
        <v>1255</v>
      </c>
      <c r="N928" s="188" t="s">
        <v>1248</v>
      </c>
      <c r="O928">
        <v>921</v>
      </c>
      <c r="P928">
        <f>_xlfn.XLOOKUP(A928,'[1]Classic Net to delete'!D:D,'[1]Classic Net to delete'!AA:AA,0)</f>
        <v>721</v>
      </c>
    </row>
    <row r="929" spans="1:16" x14ac:dyDescent="0.25">
      <c r="A929" t="s">
        <v>1252</v>
      </c>
      <c r="B929" t="s">
        <v>1253</v>
      </c>
      <c r="C929">
        <v>160.55000000000001</v>
      </c>
      <c r="D929" t="s">
        <v>1246</v>
      </c>
      <c r="E929" t="str">
        <f>CONCATENATE(J929,". ",N929)</f>
        <v>03. Floor Saws</v>
      </c>
      <c r="F929">
        <v>75</v>
      </c>
      <c r="G929" t="b">
        <v>1</v>
      </c>
      <c r="H929">
        <v>736</v>
      </c>
      <c r="J929" s="193" t="s">
        <v>188</v>
      </c>
      <c r="K929" s="188">
        <f>IFERROR(_xlfn.XLOOKUP(A929,[1]Fleet!A:A,[1]Fleet!E:E,""),"")</f>
        <v>22</v>
      </c>
      <c r="L929" s="188">
        <v>150.05000000000001</v>
      </c>
      <c r="M929" s="188" t="s">
        <v>1253</v>
      </c>
      <c r="N929" s="188" t="s">
        <v>3790</v>
      </c>
      <c r="O929">
        <v>924</v>
      </c>
      <c r="P929">
        <f>_xlfn.XLOOKUP(A929,'[1]Classic Net to delete'!D:D,'[1]Classic Net to delete'!AA:AA,0)</f>
        <v>736</v>
      </c>
    </row>
    <row r="930" spans="1:16" x14ac:dyDescent="0.25">
      <c r="A930" t="s">
        <v>1297</v>
      </c>
      <c r="B930" t="s">
        <v>1298</v>
      </c>
      <c r="C930">
        <v>191.18</v>
      </c>
      <c r="D930" t="s">
        <v>1275</v>
      </c>
      <c r="E930" t="str">
        <f>CONCATENATE(J930,". ",N930)</f>
        <v>. Devices</v>
      </c>
      <c r="F930">
        <v>75</v>
      </c>
      <c r="G930" t="b">
        <v>0</v>
      </c>
      <c r="H930">
        <v>0</v>
      </c>
      <c r="K930" s="188">
        <f>IFERROR(_xlfn.XLOOKUP(A930,[1]Fleet!A:A,[1]Fleet!E:E,""),"")</f>
        <v>4</v>
      </c>
      <c r="L930" s="188" t="s">
        <v>76</v>
      </c>
      <c r="M930" s="188" t="s">
        <v>76</v>
      </c>
      <c r="N930" s="188" t="s">
        <v>1299</v>
      </c>
      <c r="O930">
        <v>953</v>
      </c>
      <c r="P930">
        <f>_xlfn.XLOOKUP(A930,'[1]Classic Net to delete'!D:D,'[1]Classic Net to delete'!AA:AA,0)</f>
        <v>0</v>
      </c>
    </row>
    <row r="931" spans="1:16" x14ac:dyDescent="0.25">
      <c r="A931" t="s">
        <v>1297</v>
      </c>
      <c r="B931" t="s">
        <v>1300</v>
      </c>
      <c r="C931">
        <v>191.18</v>
      </c>
      <c r="D931" t="s">
        <v>1275</v>
      </c>
      <c r="E931" t="str">
        <f>CONCATENATE(J931,". ",N931)</f>
        <v>. Devices</v>
      </c>
      <c r="F931">
        <v>75</v>
      </c>
      <c r="G931" t="b">
        <v>0</v>
      </c>
      <c r="H931">
        <v>0</v>
      </c>
      <c r="K931" s="188">
        <f>IFERROR(_xlfn.XLOOKUP(A931,[1]Fleet!A:A,[1]Fleet!E:E,""),"")</f>
        <v>4</v>
      </c>
      <c r="L931" s="188" t="s">
        <v>76</v>
      </c>
      <c r="M931" s="188" t="s">
        <v>76</v>
      </c>
      <c r="N931" s="188" t="s">
        <v>1299</v>
      </c>
      <c r="O931">
        <v>954</v>
      </c>
      <c r="P931">
        <f>_xlfn.XLOOKUP(A931,'[1]Classic Net to delete'!D:D,'[1]Classic Net to delete'!AA:AA,0)</f>
        <v>0</v>
      </c>
    </row>
    <row r="932" spans="1:16" x14ac:dyDescent="0.25">
      <c r="A932" t="s">
        <v>1303</v>
      </c>
      <c r="B932" t="s">
        <v>1304</v>
      </c>
      <c r="C932">
        <v>101.65</v>
      </c>
      <c r="D932" t="s">
        <v>1275</v>
      </c>
      <c r="E932" t="str">
        <f>CONCATENATE(J932,". ",N932)</f>
        <v>. Devices</v>
      </c>
      <c r="F932">
        <v>75</v>
      </c>
      <c r="G932" t="b">
        <v>0</v>
      </c>
      <c r="H932">
        <v>0</v>
      </c>
      <c r="K932" s="188">
        <f>IFERROR(_xlfn.XLOOKUP(A932,[1]Fleet!A:A,[1]Fleet!E:E,""),"")</f>
        <v>2</v>
      </c>
      <c r="L932" s="188" t="s">
        <v>76</v>
      </c>
      <c r="M932" s="188" t="s">
        <v>76</v>
      </c>
      <c r="N932" s="188" t="s">
        <v>1299</v>
      </c>
      <c r="O932">
        <v>952</v>
      </c>
      <c r="P932">
        <f>_xlfn.XLOOKUP(A932,'[1]Classic Net to delete'!D:D,'[1]Classic Net to delete'!AA:AA,0)</f>
        <v>0</v>
      </c>
    </row>
    <row r="933" spans="1:16" x14ac:dyDescent="0.25">
      <c r="A933" t="s">
        <v>1313</v>
      </c>
      <c r="B933" t="s">
        <v>1314</v>
      </c>
      <c r="C933">
        <v>27.12</v>
      </c>
      <c r="D933" t="s">
        <v>1275</v>
      </c>
      <c r="E933" t="str">
        <f>CONCATENATE(J933,". ",N933)</f>
        <v>. Devices</v>
      </c>
      <c r="F933">
        <v>75</v>
      </c>
      <c r="G933" t="b">
        <v>0</v>
      </c>
      <c r="H933">
        <v>0</v>
      </c>
      <c r="K933" s="188">
        <f>IFERROR(_xlfn.XLOOKUP(A933,[1]Fleet!A:A,[1]Fleet!E:E,""),"")</f>
        <v>1</v>
      </c>
      <c r="L933" s="188" t="s">
        <v>76</v>
      </c>
      <c r="M933" s="188" t="s">
        <v>76</v>
      </c>
      <c r="N933" s="188" t="s">
        <v>1299</v>
      </c>
      <c r="O933">
        <v>945</v>
      </c>
      <c r="P933">
        <f>_xlfn.XLOOKUP(A933,'[1]Classic Net to delete'!D:D,'[1]Classic Net to delete'!AA:AA,0)</f>
        <v>0</v>
      </c>
    </row>
    <row r="934" spans="1:16" x14ac:dyDescent="0.25">
      <c r="A934" t="s">
        <v>1324</v>
      </c>
      <c r="B934" t="s">
        <v>1325</v>
      </c>
      <c r="C934">
        <v>0</v>
      </c>
      <c r="D934" t="s">
        <v>1275</v>
      </c>
      <c r="E934" t="str">
        <f>CONCATENATE(J934,". ",N934)</f>
        <v>. Devices</v>
      </c>
      <c r="F934">
        <v>75</v>
      </c>
      <c r="G934" t="b">
        <v>0</v>
      </c>
      <c r="H934">
        <v>0</v>
      </c>
      <c r="K934" s="188" t="str">
        <f>IFERROR(_xlfn.XLOOKUP(A934,[1]Fleet!A:A,[1]Fleet!E:E,""),"")</f>
        <v/>
      </c>
      <c r="L934" s="188" t="s">
        <v>76</v>
      </c>
      <c r="M934" s="188" t="s">
        <v>76</v>
      </c>
      <c r="N934" s="188" t="s">
        <v>1299</v>
      </c>
      <c r="O934">
        <v>938</v>
      </c>
      <c r="P934">
        <f>_xlfn.XLOOKUP(A934,'[1]Classic Net to delete'!D:D,'[1]Classic Net to delete'!AA:AA,0)</f>
        <v>0</v>
      </c>
    </row>
    <row r="935" spans="1:16" x14ac:dyDescent="0.25">
      <c r="A935" t="s">
        <v>3048</v>
      </c>
      <c r="B935" t="s">
        <v>3049</v>
      </c>
      <c r="C935">
        <v>0</v>
      </c>
      <c r="D935" t="s">
        <v>1275</v>
      </c>
      <c r="E935" t="str">
        <f>CONCATENATE(J935,". ",N935)</f>
        <v>. Devices</v>
      </c>
      <c r="F935">
        <v>75</v>
      </c>
      <c r="G935" t="b">
        <v>0</v>
      </c>
      <c r="H935">
        <v>0</v>
      </c>
      <c r="K935" s="188">
        <f>IFERROR(_xlfn.XLOOKUP(A935,[1]Fleet!A:A,[1]Fleet!E:E,""),"")</f>
        <v>2</v>
      </c>
      <c r="L935" s="188" t="s">
        <v>76</v>
      </c>
      <c r="M935" s="188" t="s">
        <v>76</v>
      </c>
      <c r="N935" s="188" t="s">
        <v>1299</v>
      </c>
      <c r="O935">
        <v>950</v>
      </c>
      <c r="P935">
        <f>_xlfn.XLOOKUP(A935,'[1]Classic Net to delete'!D:D,'[1]Classic Net to delete'!AA:AA,0)</f>
        <v>0</v>
      </c>
    </row>
    <row r="936" spans="1:16" x14ac:dyDescent="0.25">
      <c r="A936" t="s">
        <v>3048</v>
      </c>
      <c r="B936" t="s">
        <v>3050</v>
      </c>
      <c r="C936">
        <v>0</v>
      </c>
      <c r="D936" t="s">
        <v>1275</v>
      </c>
      <c r="E936" t="str">
        <f>CONCATENATE(J936,". ",N936)</f>
        <v>. Devices</v>
      </c>
      <c r="F936">
        <v>75</v>
      </c>
      <c r="G936" t="b">
        <v>0</v>
      </c>
      <c r="H936">
        <v>0</v>
      </c>
      <c r="K936" s="188">
        <f>IFERROR(_xlfn.XLOOKUP(A936,[1]Fleet!A:A,[1]Fleet!E:E,""),"")</f>
        <v>2</v>
      </c>
      <c r="L936" s="188" t="s">
        <v>76</v>
      </c>
      <c r="M936" s="188" t="s">
        <v>76</v>
      </c>
      <c r="N936" s="188" t="s">
        <v>1299</v>
      </c>
      <c r="O936">
        <v>951</v>
      </c>
      <c r="P936">
        <f>_xlfn.XLOOKUP(A936,'[1]Classic Net to delete'!D:D,'[1]Classic Net to delete'!AA:AA,0)</f>
        <v>0</v>
      </c>
    </row>
    <row r="937" spans="1:16" x14ac:dyDescent="0.25">
      <c r="A937" t="s">
        <v>1273</v>
      </c>
      <c r="B937" t="s">
        <v>1274</v>
      </c>
      <c r="C937">
        <v>82.39</v>
      </c>
      <c r="D937" t="s">
        <v>1275</v>
      </c>
      <c r="E937" t="str">
        <f>CONCATENATE(J937,". ",N937)</f>
        <v>01. Cable &amp; Pipe Location</v>
      </c>
      <c r="F937">
        <v>75</v>
      </c>
      <c r="G937" t="b">
        <v>1</v>
      </c>
      <c r="H937">
        <v>740</v>
      </c>
      <c r="J937" s="193" t="s">
        <v>20</v>
      </c>
      <c r="K937" s="188">
        <f>IFERROR(_xlfn.XLOOKUP(A937,[1]Fleet!A:A,[1]Fleet!E:E,""),"")</f>
        <v>25</v>
      </c>
      <c r="L937" s="188">
        <v>77</v>
      </c>
      <c r="M937" s="188" t="s">
        <v>1276</v>
      </c>
      <c r="N937" s="188" t="s">
        <v>1277</v>
      </c>
      <c r="O937">
        <v>929</v>
      </c>
      <c r="P937">
        <f>_xlfn.XLOOKUP(A937,'[1]Classic Net to delete'!D:D,'[1]Classic Net to delete'!AA:AA,0)</f>
        <v>740</v>
      </c>
    </row>
    <row r="938" spans="1:16" x14ac:dyDescent="0.25">
      <c r="A938" t="s">
        <v>1278</v>
      </c>
      <c r="B938" t="s">
        <v>1279</v>
      </c>
      <c r="C938">
        <v>77.95</v>
      </c>
      <c r="D938" t="s">
        <v>1275</v>
      </c>
      <c r="E938" t="str">
        <f>CONCATENATE(J938,". ",N938)</f>
        <v>01. Cable &amp; Pipe Location</v>
      </c>
      <c r="F938">
        <v>75</v>
      </c>
      <c r="G938" t="b">
        <v>1</v>
      </c>
      <c r="H938">
        <v>741</v>
      </c>
      <c r="J938" s="193" t="s">
        <v>20</v>
      </c>
      <c r="K938" s="188">
        <f>IFERROR(_xlfn.XLOOKUP(A938,[1]Fleet!A:A,[1]Fleet!E:E,""),"")</f>
        <v>15</v>
      </c>
      <c r="L938" s="188">
        <v>72.850000000000009</v>
      </c>
      <c r="M938" s="188" t="s">
        <v>1279</v>
      </c>
      <c r="N938" s="188" t="s">
        <v>1277</v>
      </c>
      <c r="O938">
        <v>930</v>
      </c>
      <c r="P938">
        <f>_xlfn.XLOOKUP(A938,'[1]Classic Net to delete'!D:D,'[1]Classic Net to delete'!AA:AA,0)</f>
        <v>741</v>
      </c>
    </row>
    <row r="939" spans="1:16" x14ac:dyDescent="0.25">
      <c r="A939" t="s">
        <v>1305</v>
      </c>
      <c r="B939" t="s">
        <v>1306</v>
      </c>
      <c r="C939">
        <v>34.130000000000003</v>
      </c>
      <c r="D939" t="s">
        <v>1275</v>
      </c>
      <c r="E939" t="str">
        <f>CONCATENATE(J939,". ",N939)</f>
        <v>01. Cable &amp; Pipe Location</v>
      </c>
      <c r="F939">
        <v>75</v>
      </c>
      <c r="G939" t="b">
        <v>1</v>
      </c>
      <c r="H939">
        <v>742</v>
      </c>
      <c r="J939" s="193" t="s">
        <v>20</v>
      </c>
      <c r="K939" s="188">
        <f>IFERROR(_xlfn.XLOOKUP(A939,[1]Fleet!A:A,[1]Fleet!E:E,""),"")</f>
        <v>2</v>
      </c>
      <c r="L939" s="188">
        <v>31.900000000000002</v>
      </c>
      <c r="M939" s="188" t="s">
        <v>1307</v>
      </c>
      <c r="N939" s="188" t="s">
        <v>1277</v>
      </c>
      <c r="O939">
        <v>934</v>
      </c>
      <c r="P939">
        <f>_xlfn.XLOOKUP(A939,'[1]Classic Net to delete'!D:D,'[1]Classic Net to delete'!AA:AA,0)</f>
        <v>742</v>
      </c>
    </row>
    <row r="940" spans="1:16" x14ac:dyDescent="0.25">
      <c r="A940" t="s">
        <v>1315</v>
      </c>
      <c r="B940" t="s">
        <v>1316</v>
      </c>
      <c r="C940">
        <v>229.68</v>
      </c>
      <c r="D940" t="s">
        <v>1275</v>
      </c>
      <c r="E940" t="str">
        <f>CONCATENATE(J940,". ",N940)</f>
        <v>01. Cable &amp; Pipe Location</v>
      </c>
      <c r="F940">
        <v>75</v>
      </c>
      <c r="G940" t="b">
        <v>1</v>
      </c>
      <c r="H940">
        <v>743</v>
      </c>
      <c r="J940" s="193" t="s">
        <v>20</v>
      </c>
      <c r="K940" s="188">
        <f>IFERROR(_xlfn.XLOOKUP(A940,[1]Fleet!A:A,[1]Fleet!E:E,""),"")</f>
        <v>3</v>
      </c>
      <c r="L940" s="188">
        <v>214.65</v>
      </c>
      <c r="M940" s="188" t="s">
        <v>1317</v>
      </c>
      <c r="N940" s="188" t="s">
        <v>1277</v>
      </c>
      <c r="O940">
        <v>941</v>
      </c>
      <c r="P940">
        <f>_xlfn.XLOOKUP(A940,'[1]Classic Net to delete'!D:D,'[1]Classic Net to delete'!AA:AA,0)</f>
        <v>743</v>
      </c>
    </row>
    <row r="941" spans="1:16" x14ac:dyDescent="0.25">
      <c r="A941" t="s">
        <v>1318</v>
      </c>
      <c r="B941" t="s">
        <v>1319</v>
      </c>
      <c r="C941">
        <v>83.62</v>
      </c>
      <c r="D941" t="s">
        <v>1275</v>
      </c>
      <c r="E941" t="str">
        <f>CONCATENATE(J941,". ",N941)</f>
        <v>01. Cable &amp; Pipe Location</v>
      </c>
      <c r="F941">
        <v>75</v>
      </c>
      <c r="G941" t="b">
        <v>1</v>
      </c>
      <c r="H941">
        <v>744</v>
      </c>
      <c r="J941" s="193" t="s">
        <v>20</v>
      </c>
      <c r="K941" s="188">
        <f>IFERROR(_xlfn.XLOOKUP(A941,[1]Fleet!A:A,[1]Fleet!E:E,""),"")</f>
        <v>5</v>
      </c>
      <c r="L941" s="188">
        <v>78.150000000000006</v>
      </c>
      <c r="M941" s="188" t="s">
        <v>1319</v>
      </c>
      <c r="N941" s="188" t="s">
        <v>1277</v>
      </c>
      <c r="O941">
        <v>935</v>
      </c>
      <c r="P941">
        <f>_xlfn.XLOOKUP(A941,'[1]Classic Net to delete'!D:D,'[1]Classic Net to delete'!AA:AA,0)</f>
        <v>744</v>
      </c>
    </row>
    <row r="942" spans="1:16" x14ac:dyDescent="0.25">
      <c r="A942" t="s">
        <v>1308</v>
      </c>
      <c r="B942" t="s">
        <v>1309</v>
      </c>
      <c r="C942">
        <v>121.45</v>
      </c>
      <c r="D942" t="s">
        <v>1275</v>
      </c>
      <c r="E942" t="str">
        <f>CONCATENATE(J942,". ",N942)</f>
        <v>01. Cable &amp; Pipe Location</v>
      </c>
      <c r="F942">
        <v>75</v>
      </c>
      <c r="G942" t="b">
        <v>1</v>
      </c>
      <c r="H942">
        <v>745</v>
      </c>
      <c r="J942" s="193" t="s">
        <v>20</v>
      </c>
      <c r="K942" s="188">
        <f>IFERROR(_xlfn.XLOOKUP(A942,[1]Fleet!A:A,[1]Fleet!E:E,""),"")</f>
        <v>14</v>
      </c>
      <c r="L942" s="188">
        <v>113.5</v>
      </c>
      <c r="M942" s="188" t="s">
        <v>1310</v>
      </c>
      <c r="N942" s="188" t="s">
        <v>1277</v>
      </c>
      <c r="O942">
        <v>942</v>
      </c>
      <c r="P942">
        <f>_xlfn.XLOOKUP(A942,'[1]Classic Net to delete'!D:D,'[1]Classic Net to delete'!AA:AA,0)</f>
        <v>745</v>
      </c>
    </row>
    <row r="943" spans="1:16" x14ac:dyDescent="0.25">
      <c r="A943" t="s">
        <v>1329</v>
      </c>
      <c r="B943" t="s">
        <v>1330</v>
      </c>
      <c r="C943">
        <v>35.68</v>
      </c>
      <c r="D943" t="s">
        <v>1275</v>
      </c>
      <c r="E943" t="str">
        <f>CONCATENATE(J943,". ",N943)</f>
        <v>01. Cable &amp; Pipe Location</v>
      </c>
      <c r="F943">
        <v>75</v>
      </c>
      <c r="G943" t="b">
        <v>1</v>
      </c>
      <c r="H943">
        <v>746</v>
      </c>
      <c r="J943" s="193" t="s">
        <v>20</v>
      </c>
      <c r="K943" s="188">
        <f>IFERROR(_xlfn.XLOOKUP(A943,[1]Fleet!A:A,[1]Fleet!E:E,""),"")</f>
        <v>2</v>
      </c>
      <c r="L943" s="188">
        <v>33.35</v>
      </c>
      <c r="M943" s="188" t="s">
        <v>1330</v>
      </c>
      <c r="N943" s="188" t="s">
        <v>1277</v>
      </c>
      <c r="O943">
        <v>948</v>
      </c>
      <c r="P943">
        <f>_xlfn.XLOOKUP(A943,'[1]Classic Net to delete'!D:D,'[1]Classic Net to delete'!AA:AA,0)</f>
        <v>746</v>
      </c>
    </row>
    <row r="944" spans="1:16" x14ac:dyDescent="0.25">
      <c r="A944" t="s">
        <v>1311</v>
      </c>
      <c r="B944" t="s">
        <v>1312</v>
      </c>
      <c r="C944">
        <v>124.33</v>
      </c>
      <c r="D944" t="s">
        <v>1275</v>
      </c>
      <c r="E944" t="str">
        <f>CONCATENATE(J944,". ",N944)</f>
        <v>01. Cable &amp; Pipe Location</v>
      </c>
      <c r="F944">
        <v>75</v>
      </c>
      <c r="G944" t="b">
        <v>1</v>
      </c>
      <c r="H944">
        <v>747</v>
      </c>
      <c r="J944" s="193" t="s">
        <v>20</v>
      </c>
      <c r="K944" s="188">
        <f>IFERROR(_xlfn.XLOOKUP(A944,[1]Fleet!A:A,[1]Fleet!E:E,""),"")</f>
        <v>3</v>
      </c>
      <c r="L944" s="188">
        <v>116.2</v>
      </c>
      <c r="M944" s="188" t="s">
        <v>1312</v>
      </c>
      <c r="N944" s="188" t="s">
        <v>1277</v>
      </c>
      <c r="O944">
        <v>947</v>
      </c>
      <c r="P944">
        <f>_xlfn.XLOOKUP(A944,'[1]Classic Net to delete'!D:D,'[1]Classic Net to delete'!AA:AA,0)</f>
        <v>747</v>
      </c>
    </row>
    <row r="945" spans="1:16" x14ac:dyDescent="0.25">
      <c r="A945" t="s">
        <v>1283</v>
      </c>
      <c r="B945" t="s">
        <v>1284</v>
      </c>
      <c r="C945">
        <v>27.12</v>
      </c>
      <c r="D945" t="s">
        <v>1275</v>
      </c>
      <c r="E945" t="str">
        <f>CONCATENATE(J945,". ",N945)</f>
        <v>02. Meters, Detection &amp; Communication</v>
      </c>
      <c r="F945">
        <v>75</v>
      </c>
      <c r="G945" t="b">
        <v>1</v>
      </c>
      <c r="H945">
        <v>750</v>
      </c>
      <c r="J945" s="193" t="s">
        <v>189</v>
      </c>
      <c r="K945" s="188">
        <f>IFERROR(_xlfn.XLOOKUP(A945,[1]Fleet!A:A,[1]Fleet!E:E,""),"")</f>
        <v>4</v>
      </c>
      <c r="L945" s="188">
        <v>25.35</v>
      </c>
      <c r="M945" s="188" t="s">
        <v>1284</v>
      </c>
      <c r="N945" s="188" t="s">
        <v>1282</v>
      </c>
      <c r="O945">
        <v>931</v>
      </c>
      <c r="P945">
        <f>_xlfn.XLOOKUP(A945,'[1]Classic Net to delete'!D:D,'[1]Classic Net to delete'!AA:AA,0)</f>
        <v>750</v>
      </c>
    </row>
    <row r="946" spans="1:16" x14ac:dyDescent="0.25">
      <c r="A946" t="s">
        <v>1320</v>
      </c>
      <c r="B946" t="s">
        <v>1321</v>
      </c>
      <c r="C946">
        <v>39.160000000000004</v>
      </c>
      <c r="D946" t="s">
        <v>1275</v>
      </c>
      <c r="E946" t="str">
        <f>CONCATENATE(J946,". ",N946)</f>
        <v>02. Meters, Detection &amp; Communication</v>
      </c>
      <c r="F946">
        <v>75</v>
      </c>
      <c r="G946" t="b">
        <v>1</v>
      </c>
      <c r="H946">
        <v>751</v>
      </c>
      <c r="J946" s="193" t="s">
        <v>189</v>
      </c>
      <c r="K946" s="188">
        <f>IFERROR(_xlfn.XLOOKUP(A946,[1]Fleet!A:A,[1]Fleet!E:E,""),"")</f>
        <v>1</v>
      </c>
      <c r="L946" s="188">
        <v>36.6</v>
      </c>
      <c r="M946" s="188" t="s">
        <v>1321</v>
      </c>
      <c r="N946" s="188" t="s">
        <v>1282</v>
      </c>
      <c r="O946">
        <v>936</v>
      </c>
      <c r="P946">
        <f>_xlfn.XLOOKUP(A946,'[1]Classic Net to delete'!D:D,'[1]Classic Net to delete'!AA:AA,0)</f>
        <v>751</v>
      </c>
    </row>
    <row r="947" spans="1:16" x14ac:dyDescent="0.25">
      <c r="A947" t="s">
        <v>1322</v>
      </c>
      <c r="B947" t="s">
        <v>1323</v>
      </c>
      <c r="C947">
        <v>39.160000000000004</v>
      </c>
      <c r="D947" t="s">
        <v>1275</v>
      </c>
      <c r="E947" t="str">
        <f>CONCATENATE(J947,". ",N947)</f>
        <v>02. Meters, Detection &amp; Communication</v>
      </c>
      <c r="F947">
        <v>75</v>
      </c>
      <c r="G947" t="b">
        <v>1</v>
      </c>
      <c r="H947">
        <v>752</v>
      </c>
      <c r="J947" s="193" t="s">
        <v>189</v>
      </c>
      <c r="K947" s="188">
        <f>IFERROR(_xlfn.XLOOKUP(A947,[1]Fleet!A:A,[1]Fleet!E:E,""),"")</f>
        <v>4</v>
      </c>
      <c r="L947" s="188">
        <v>36.6</v>
      </c>
      <c r="M947" s="188" t="s">
        <v>1323</v>
      </c>
      <c r="N947" s="188" t="s">
        <v>1282</v>
      </c>
      <c r="O947">
        <v>943</v>
      </c>
      <c r="P947">
        <f>_xlfn.XLOOKUP(A947,'[1]Classic Net to delete'!D:D,'[1]Classic Net to delete'!AA:AA,0)</f>
        <v>752</v>
      </c>
    </row>
    <row r="948" spans="1:16" x14ac:dyDescent="0.25">
      <c r="A948" t="s">
        <v>1280</v>
      </c>
      <c r="B948" t="s">
        <v>1281</v>
      </c>
      <c r="C948">
        <v>66.23</v>
      </c>
      <c r="D948" t="s">
        <v>1275</v>
      </c>
      <c r="E948" t="str">
        <f>CONCATENATE(J948,". ",N948)</f>
        <v>02. Meters, Detection &amp; Communication</v>
      </c>
      <c r="F948">
        <v>75</v>
      </c>
      <c r="G948" t="b">
        <v>1</v>
      </c>
      <c r="H948">
        <v>753</v>
      </c>
      <c r="J948" s="193" t="s">
        <v>189</v>
      </c>
      <c r="K948" s="188">
        <f>IFERROR(_xlfn.XLOOKUP(A948,[1]Fleet!A:A,[1]Fleet!E:E,""),"")</f>
        <v>1</v>
      </c>
      <c r="L948" s="188">
        <v>61.900000000000006</v>
      </c>
      <c r="M948" s="188" t="s">
        <v>1281</v>
      </c>
      <c r="N948" s="188" t="s">
        <v>1282</v>
      </c>
      <c r="O948">
        <v>949</v>
      </c>
      <c r="P948">
        <f>_xlfn.XLOOKUP(A948,'[1]Classic Net to delete'!D:D,'[1]Classic Net to delete'!AA:AA,0)</f>
        <v>753</v>
      </c>
    </row>
    <row r="949" spans="1:16" x14ac:dyDescent="0.25">
      <c r="A949" t="s">
        <v>1326</v>
      </c>
      <c r="B949" t="s">
        <v>1327</v>
      </c>
      <c r="C949">
        <v>0</v>
      </c>
      <c r="D949" t="s">
        <v>1275</v>
      </c>
      <c r="E949" t="str">
        <f>CONCATENATE(J949,". ",N949)</f>
        <v>02. Meters, Detection &amp; Communication</v>
      </c>
      <c r="F949">
        <v>75</v>
      </c>
      <c r="G949" t="b">
        <v>0</v>
      </c>
      <c r="H949">
        <v>764</v>
      </c>
      <c r="J949" s="193" t="s">
        <v>189</v>
      </c>
      <c r="K949" s="188" t="str">
        <f>IFERROR(_xlfn.XLOOKUP(A949,[1]Fleet!A:A,[1]Fleet!E:E,""),"")</f>
        <v/>
      </c>
      <c r="L949" s="188">
        <v>30.400000000000002</v>
      </c>
      <c r="M949" s="188" t="s">
        <v>1328</v>
      </c>
      <c r="N949" s="188" t="s">
        <v>1282</v>
      </c>
      <c r="O949">
        <v>939</v>
      </c>
      <c r="P949">
        <f>_xlfn.XLOOKUP(A949,'[1]Classic Net to delete'!D:D,'[1]Classic Net to delete'!AA:AA,0)</f>
        <v>764</v>
      </c>
    </row>
    <row r="950" spans="1:16" x14ac:dyDescent="0.25">
      <c r="A950" t="s">
        <v>1331</v>
      </c>
      <c r="B950" t="s">
        <v>1332</v>
      </c>
      <c r="C950">
        <v>0</v>
      </c>
      <c r="D950" t="s">
        <v>1275</v>
      </c>
      <c r="E950" t="str">
        <f>CONCATENATE(J950,". ",N950)</f>
        <v>02. Meters, Detection &amp; Communication</v>
      </c>
      <c r="F950">
        <v>75</v>
      </c>
      <c r="G950" t="b">
        <v>0</v>
      </c>
      <c r="H950">
        <v>765</v>
      </c>
      <c r="J950" s="193" t="s">
        <v>189</v>
      </c>
      <c r="K950" s="188" t="str">
        <f>IFERROR(_xlfn.XLOOKUP(A950,[1]Fleet!A:A,[1]Fleet!E:E,""),"")</f>
        <v/>
      </c>
      <c r="L950" s="188">
        <v>32.25</v>
      </c>
      <c r="M950" s="188" t="s">
        <v>1332</v>
      </c>
      <c r="N950" s="188" t="s">
        <v>1282</v>
      </c>
      <c r="O950">
        <v>940</v>
      </c>
      <c r="P950">
        <f>_xlfn.XLOOKUP(A950,'[1]Classic Net to delete'!D:D,'[1]Classic Net to delete'!AA:AA,0)</f>
        <v>765</v>
      </c>
    </row>
    <row r="951" spans="1:16" x14ac:dyDescent="0.25">
      <c r="A951" t="s">
        <v>1285</v>
      </c>
      <c r="B951" t="s">
        <v>1286</v>
      </c>
      <c r="C951">
        <v>70.989999999999995</v>
      </c>
      <c r="D951" t="s">
        <v>1275</v>
      </c>
      <c r="E951" t="str">
        <f>CONCATENATE(J951,". ",N951)</f>
        <v>03. Lasers &amp; Levels</v>
      </c>
      <c r="F951">
        <v>75</v>
      </c>
      <c r="G951" t="b">
        <v>1</v>
      </c>
      <c r="H951">
        <v>757</v>
      </c>
      <c r="J951" s="193" t="s">
        <v>188</v>
      </c>
      <c r="K951" s="188">
        <f>IFERROR(_xlfn.XLOOKUP(A951,[1]Fleet!A:A,[1]Fleet!E:E,""),"")</f>
        <v>5</v>
      </c>
      <c r="L951" s="188">
        <v>66.350000000000009</v>
      </c>
      <c r="M951" s="188" t="s">
        <v>1287</v>
      </c>
      <c r="N951" s="188" t="s">
        <v>1288</v>
      </c>
      <c r="O951">
        <v>932</v>
      </c>
      <c r="P951">
        <f>_xlfn.XLOOKUP(A951,'[1]Classic Net to delete'!D:D,'[1]Classic Net to delete'!AA:AA,0)</f>
        <v>757</v>
      </c>
    </row>
    <row r="952" spans="1:16" x14ac:dyDescent="0.25">
      <c r="A952" t="s">
        <v>1289</v>
      </c>
      <c r="B952" t="s">
        <v>1290</v>
      </c>
      <c r="C952">
        <v>52.75</v>
      </c>
      <c r="D952" t="s">
        <v>1275</v>
      </c>
      <c r="E952" t="str">
        <f>CONCATENATE(J952,". ",N952)</f>
        <v>03. Lasers &amp; Levels</v>
      </c>
      <c r="F952">
        <v>75</v>
      </c>
      <c r="G952" t="b">
        <v>1</v>
      </c>
      <c r="H952">
        <v>758</v>
      </c>
      <c r="J952" s="193" t="s">
        <v>188</v>
      </c>
      <c r="K952" s="188">
        <f>IFERROR(_xlfn.XLOOKUP(A952,[1]Fleet!A:A,[1]Fleet!E:E,""),"")</f>
        <v>4</v>
      </c>
      <c r="L952" s="188">
        <v>49.300000000000004</v>
      </c>
      <c r="M952" s="188" t="s">
        <v>1290</v>
      </c>
      <c r="N952" s="188" t="s">
        <v>1288</v>
      </c>
      <c r="O952">
        <v>937</v>
      </c>
      <c r="P952">
        <f>_xlfn.XLOOKUP(A952,'[1]Classic Net to delete'!D:D,'[1]Classic Net to delete'!AA:AA,0)</f>
        <v>758</v>
      </c>
    </row>
    <row r="953" spans="1:16" x14ac:dyDescent="0.25">
      <c r="A953" t="s">
        <v>1301</v>
      </c>
      <c r="B953" t="s">
        <v>1300</v>
      </c>
      <c r="C953">
        <v>191.18</v>
      </c>
      <c r="D953" t="s">
        <v>1275</v>
      </c>
      <c r="E953" t="str">
        <f>CONCATENATE(J953,". ",N953)</f>
        <v>03. Lasers &amp; Levels</v>
      </c>
      <c r="F953">
        <v>75</v>
      </c>
      <c r="G953" t="b">
        <v>1</v>
      </c>
      <c r="H953">
        <v>759</v>
      </c>
      <c r="J953" s="193" t="s">
        <v>188</v>
      </c>
      <c r="K953" s="188">
        <f>IFERROR(_xlfn.XLOOKUP(A953,[1]Fleet!A:A,[1]Fleet!E:E,""),"")</f>
        <v>17</v>
      </c>
      <c r="L953" s="188">
        <v>170.70000000000002</v>
      </c>
      <c r="M953" s="188" t="s">
        <v>1302</v>
      </c>
      <c r="N953" s="188" t="s">
        <v>1288</v>
      </c>
      <c r="O953">
        <v>946</v>
      </c>
      <c r="P953">
        <f>_xlfn.XLOOKUP(A953,'[1]Classic Net to delete'!D:D,'[1]Classic Net to delete'!AA:AA,0)</f>
        <v>759</v>
      </c>
    </row>
    <row r="954" spans="1:16" x14ac:dyDescent="0.25">
      <c r="A954" t="s">
        <v>1291</v>
      </c>
      <c r="B954" t="s">
        <v>1292</v>
      </c>
      <c r="C954">
        <v>0</v>
      </c>
      <c r="D954" t="s">
        <v>1275</v>
      </c>
      <c r="E954" t="str">
        <f>CONCATENATE(J954,". ",N954)</f>
        <v>03. Lasers &amp; Levels</v>
      </c>
      <c r="F954">
        <v>75</v>
      </c>
      <c r="G954" t="b">
        <v>0</v>
      </c>
      <c r="H954">
        <v>760</v>
      </c>
      <c r="J954" s="193" t="s">
        <v>188</v>
      </c>
      <c r="K954" s="188">
        <f>IFERROR(_xlfn.XLOOKUP(A954,[1]Fleet!A:A,[1]Fleet!E:E,""),"")</f>
        <v>2</v>
      </c>
      <c r="L954" s="188">
        <v>211.4</v>
      </c>
      <c r="M954" s="188" t="s">
        <v>1293</v>
      </c>
      <c r="N954" s="188" t="s">
        <v>1288</v>
      </c>
      <c r="O954">
        <v>944</v>
      </c>
      <c r="P954">
        <f>_xlfn.XLOOKUP(A954,'[1]Classic Net to delete'!D:D,'[1]Classic Net to delete'!AA:AA,0)</f>
        <v>760</v>
      </c>
    </row>
    <row r="955" spans="1:16" x14ac:dyDescent="0.25">
      <c r="A955" t="s">
        <v>1294</v>
      </c>
      <c r="B955" t="s">
        <v>1295</v>
      </c>
      <c r="C955">
        <v>17.71</v>
      </c>
      <c r="D955" t="s">
        <v>1275</v>
      </c>
      <c r="E955" t="str">
        <f>CONCATENATE(J955,". ",N955)</f>
        <v>03. Lasers &amp; Levels</v>
      </c>
      <c r="F955">
        <v>75</v>
      </c>
      <c r="G955" t="b">
        <v>1</v>
      </c>
      <c r="H955">
        <v>761</v>
      </c>
      <c r="J955" s="193" t="s">
        <v>188</v>
      </c>
      <c r="K955" s="188">
        <f>IFERROR(_xlfn.XLOOKUP(A955,[1]Fleet!A:A,[1]Fleet!E:E,""),"")</f>
        <v>11</v>
      </c>
      <c r="L955" s="188">
        <v>16.55</v>
      </c>
      <c r="M955" s="188" t="s">
        <v>1296</v>
      </c>
      <c r="N955" s="188" t="s">
        <v>1288</v>
      </c>
      <c r="O955">
        <v>933</v>
      </c>
      <c r="P955">
        <f>_xlfn.XLOOKUP(A955,'[1]Classic Net to delete'!D:D,'[1]Classic Net to delete'!AA:AA,0)</f>
        <v>761</v>
      </c>
    </row>
    <row r="956" spans="1:16" x14ac:dyDescent="0.25">
      <c r="A956" t="s">
        <v>1413</v>
      </c>
      <c r="B956" t="s">
        <v>1414</v>
      </c>
      <c r="C956">
        <v>45.26</v>
      </c>
      <c r="D956" t="s">
        <v>1340</v>
      </c>
      <c r="E956" t="str">
        <f>CONCATENATE(J956,". ",N956)</f>
        <v>. Sanding</v>
      </c>
      <c r="F956">
        <v>75</v>
      </c>
      <c r="G956" t="b">
        <v>0</v>
      </c>
      <c r="H956">
        <v>0</v>
      </c>
      <c r="K956" s="188">
        <f>IFERROR(_xlfn.XLOOKUP(A956,[1]Fleet!A:A,[1]Fleet!E:E,""),"")</f>
        <v>3</v>
      </c>
      <c r="L956" s="188" t="s">
        <v>76</v>
      </c>
      <c r="M956" s="188" t="s">
        <v>76</v>
      </c>
      <c r="N956" s="188" t="s">
        <v>1342</v>
      </c>
      <c r="O956">
        <v>977</v>
      </c>
      <c r="P956">
        <f>_xlfn.XLOOKUP(A956,'[1]Classic Net to delete'!D:D,'[1]Classic Net to delete'!AA:AA,0)</f>
        <v>0</v>
      </c>
    </row>
    <row r="957" spans="1:16" x14ac:dyDescent="0.25">
      <c r="A957" t="s">
        <v>1461</v>
      </c>
      <c r="B957" t="s">
        <v>1460</v>
      </c>
      <c r="C957">
        <v>79.23</v>
      </c>
      <c r="D957" t="s">
        <v>1340</v>
      </c>
      <c r="E957" t="str">
        <f>CONCATENATE(J957,". ",N957)</f>
        <v>. Sanding</v>
      </c>
      <c r="F957">
        <v>75</v>
      </c>
      <c r="G957" t="b">
        <v>0</v>
      </c>
      <c r="H957">
        <v>0</v>
      </c>
      <c r="K957" s="188">
        <f>IFERROR(_xlfn.XLOOKUP(A957,[1]Fleet!A:A,[1]Fleet!E:E,""),"")</f>
        <v>4</v>
      </c>
      <c r="L957" s="188" t="s">
        <v>76</v>
      </c>
      <c r="M957" s="188" t="s">
        <v>76</v>
      </c>
      <c r="N957" s="188" t="s">
        <v>1342</v>
      </c>
      <c r="O957">
        <v>974</v>
      </c>
      <c r="P957">
        <f>_xlfn.XLOOKUP(A957,'[1]Classic Net to delete'!D:D,'[1]Classic Net to delete'!AA:AA,0)</f>
        <v>0</v>
      </c>
    </row>
    <row r="958" spans="1:16" x14ac:dyDescent="0.25">
      <c r="A958" t="s">
        <v>1417</v>
      </c>
      <c r="B958" t="s">
        <v>1418</v>
      </c>
      <c r="C958">
        <v>42.59</v>
      </c>
      <c r="D958" t="s">
        <v>1340</v>
      </c>
      <c r="E958" t="str">
        <f>CONCATENATE(J958,". ",N958)</f>
        <v>01. Routers and Planers</v>
      </c>
      <c r="F958">
        <v>75</v>
      </c>
      <c r="G958" t="b">
        <v>1</v>
      </c>
      <c r="H958">
        <v>769</v>
      </c>
      <c r="J958" s="193" t="s">
        <v>20</v>
      </c>
      <c r="K958" s="188">
        <f>IFERROR(_xlfn.XLOOKUP(A958,[1]Fleet!A:A,[1]Fleet!E:E,""),"")</f>
        <v>3</v>
      </c>
      <c r="L958" s="188">
        <v>39.800000000000004</v>
      </c>
      <c r="M958" s="188" t="s">
        <v>1418</v>
      </c>
      <c r="N958" s="188" t="s">
        <v>1405</v>
      </c>
      <c r="O958">
        <v>963</v>
      </c>
      <c r="P958">
        <f>_xlfn.XLOOKUP(A958,'[1]Classic Net to delete'!D:D,'[1]Classic Net to delete'!AA:AA,0)</f>
        <v>769</v>
      </c>
    </row>
    <row r="959" spans="1:16" x14ac:dyDescent="0.25">
      <c r="A959" t="s">
        <v>1415</v>
      </c>
      <c r="B959" t="s">
        <v>1416</v>
      </c>
      <c r="C959">
        <v>42.59</v>
      </c>
      <c r="D959" t="s">
        <v>1340</v>
      </c>
      <c r="E959" t="str">
        <f>CONCATENATE(J959,". ",N959)</f>
        <v>01. Routers and Planers</v>
      </c>
      <c r="F959">
        <v>75</v>
      </c>
      <c r="G959" t="b">
        <v>1</v>
      </c>
      <c r="H959">
        <v>770</v>
      </c>
      <c r="J959" s="193" t="s">
        <v>20</v>
      </c>
      <c r="K959" s="188">
        <f>IFERROR(_xlfn.XLOOKUP(A959,[1]Fleet!A:A,[1]Fleet!E:E,""),"")</f>
        <v>6</v>
      </c>
      <c r="L959" s="188">
        <v>39.800000000000004</v>
      </c>
      <c r="M959" s="188" t="s">
        <v>1416</v>
      </c>
      <c r="N959" s="188" t="s">
        <v>1405</v>
      </c>
      <c r="O959">
        <v>962</v>
      </c>
      <c r="P959">
        <f>_xlfn.XLOOKUP(A959,'[1]Classic Net to delete'!D:D,'[1]Classic Net to delete'!AA:AA,0)</f>
        <v>770</v>
      </c>
    </row>
    <row r="960" spans="1:16" x14ac:dyDescent="0.25">
      <c r="A960" t="s">
        <v>1402</v>
      </c>
      <c r="B960" t="s">
        <v>1403</v>
      </c>
      <c r="C960">
        <v>47.67</v>
      </c>
      <c r="D960" t="s">
        <v>1340</v>
      </c>
      <c r="E960" t="str">
        <f>CONCATENATE(J960,". ",N960)</f>
        <v>01. Routers and Planers</v>
      </c>
      <c r="F960">
        <v>75</v>
      </c>
      <c r="G960" t="b">
        <v>1</v>
      </c>
      <c r="H960">
        <v>773</v>
      </c>
      <c r="J960" s="193" t="s">
        <v>20</v>
      </c>
      <c r="K960" s="188">
        <f>IFERROR(_xlfn.XLOOKUP(A960,[1]Fleet!A:A,[1]Fleet!E:E,""),"")</f>
        <v>16</v>
      </c>
      <c r="L960" s="188">
        <v>44.550000000000004</v>
      </c>
      <c r="M960" s="188" t="s">
        <v>1404</v>
      </c>
      <c r="N960" s="188" t="s">
        <v>1405</v>
      </c>
      <c r="O960">
        <v>961</v>
      </c>
      <c r="P960">
        <f>_xlfn.XLOOKUP(A960,'[1]Classic Net to delete'!D:D,'[1]Classic Net to delete'!AA:AA,0)</f>
        <v>773</v>
      </c>
    </row>
    <row r="961" spans="1:16" x14ac:dyDescent="0.25">
      <c r="A961" t="s">
        <v>1442</v>
      </c>
      <c r="B961" t="s">
        <v>1443</v>
      </c>
      <c r="C961">
        <v>69.39</v>
      </c>
      <c r="D961" t="s">
        <v>1340</v>
      </c>
      <c r="E961" t="str">
        <f>CONCATENATE(J961,". ",N961)</f>
        <v>01. Routers and Planers</v>
      </c>
      <c r="F961">
        <v>75</v>
      </c>
      <c r="G961" t="b">
        <v>1</v>
      </c>
      <c r="H961">
        <v>774</v>
      </c>
      <c r="J961" s="193" t="s">
        <v>20</v>
      </c>
      <c r="K961" s="188">
        <f>IFERROR(_xlfn.XLOOKUP(A961,[1]Fleet!A:A,[1]Fleet!E:E,""),"")</f>
        <v>4</v>
      </c>
      <c r="L961" s="188">
        <v>64.850000000000009</v>
      </c>
      <c r="M961" s="188" t="s">
        <v>1444</v>
      </c>
      <c r="N961" s="188" t="s">
        <v>1405</v>
      </c>
      <c r="O961">
        <v>964</v>
      </c>
      <c r="P961">
        <f>_xlfn.XLOOKUP(A961,'[1]Classic Net to delete'!D:D,'[1]Classic Net to delete'!AA:AA,0)</f>
        <v>774</v>
      </c>
    </row>
    <row r="962" spans="1:16" x14ac:dyDescent="0.25">
      <c r="A962" t="s">
        <v>1406</v>
      </c>
      <c r="B962" t="s">
        <v>1407</v>
      </c>
      <c r="C962">
        <v>78.86</v>
      </c>
      <c r="D962" t="s">
        <v>1340</v>
      </c>
      <c r="E962" t="str">
        <f>CONCATENATE(J962,". ",N962)</f>
        <v>01. Routers and Planers</v>
      </c>
      <c r="F962">
        <v>75</v>
      </c>
      <c r="G962" t="b">
        <v>1</v>
      </c>
      <c r="H962">
        <v>813</v>
      </c>
      <c r="J962" s="193" t="s">
        <v>20</v>
      </c>
      <c r="K962" s="188">
        <f>IFERROR(_xlfn.XLOOKUP(A962,[1]Fleet!A:A,[1]Fleet!E:E,""),"")</f>
        <v>3</v>
      </c>
      <c r="L962" s="188">
        <v>73.7</v>
      </c>
      <c r="M962" s="188" t="s">
        <v>1407</v>
      </c>
      <c r="N962" s="188" t="s">
        <v>1405</v>
      </c>
      <c r="O962">
        <v>966</v>
      </c>
      <c r="P962">
        <f>_xlfn.XLOOKUP(A962,'[1]Classic Net to delete'!D:D,'[1]Classic Net to delete'!AA:AA,0)</f>
        <v>813</v>
      </c>
    </row>
    <row r="963" spans="1:16" x14ac:dyDescent="0.25">
      <c r="A963" t="s">
        <v>1408</v>
      </c>
      <c r="B963" t="s">
        <v>1409</v>
      </c>
      <c r="C963">
        <v>7.6000000000000005</v>
      </c>
      <c r="D963" t="s">
        <v>1340</v>
      </c>
      <c r="E963" t="str">
        <f>CONCATENATE(J963,". ",N963)</f>
        <v>01. Routers and Planers</v>
      </c>
      <c r="F963">
        <v>75</v>
      </c>
      <c r="G963" t="b">
        <v>1</v>
      </c>
      <c r="H963">
        <v>814</v>
      </c>
      <c r="J963" s="193" t="s">
        <v>20</v>
      </c>
      <c r="K963" s="188">
        <f>IFERROR(_xlfn.XLOOKUP(A963,[1]Fleet!A:A,[1]Fleet!E:E,""),"")</f>
        <v>3</v>
      </c>
      <c r="L963" s="188">
        <v>7.1000000000000005</v>
      </c>
      <c r="M963" s="188" t="s">
        <v>1409</v>
      </c>
      <c r="N963" s="188" t="s">
        <v>1405</v>
      </c>
      <c r="O963">
        <v>965</v>
      </c>
      <c r="P963">
        <f>_xlfn.XLOOKUP(A963,'[1]Classic Net to delete'!D:D,'[1]Classic Net to delete'!AA:AA,0)</f>
        <v>814</v>
      </c>
    </row>
    <row r="964" spans="1:16" x14ac:dyDescent="0.25">
      <c r="A964" t="s">
        <v>2379</v>
      </c>
      <c r="B964" t="s">
        <v>2380</v>
      </c>
      <c r="C964">
        <v>19.900000000000002</v>
      </c>
      <c r="D964" t="s">
        <v>1340</v>
      </c>
      <c r="E964" t="str">
        <f>CONCATENATE(J964,". ",N964)</f>
        <v>02. Cramps &amp; Clamps</v>
      </c>
      <c r="F964">
        <v>75</v>
      </c>
      <c r="G964" t="b">
        <v>1</v>
      </c>
      <c r="H964">
        <v>527</v>
      </c>
      <c r="J964" s="193" t="s">
        <v>189</v>
      </c>
      <c r="K964" s="188" t="str">
        <f>IFERROR(_xlfn.XLOOKUP(A964,[1]Fleet!A:A,[1]Fleet!E:E,""),"")</f>
        <v/>
      </c>
      <c r="L964" s="188">
        <v>18.600000000000001</v>
      </c>
      <c r="M964" s="188" t="s">
        <v>2381</v>
      </c>
      <c r="N964" s="188" t="s">
        <v>2382</v>
      </c>
      <c r="O964">
        <v>959</v>
      </c>
      <c r="P964">
        <f>_xlfn.XLOOKUP(A964,'[1]Classic Net to delete'!D:D,'[1]Classic Net to delete'!AA:AA,0)</f>
        <v>527</v>
      </c>
    </row>
    <row r="965" spans="1:16" x14ac:dyDescent="0.25">
      <c r="A965" t="s">
        <v>2391</v>
      </c>
      <c r="B965" t="s">
        <v>2392</v>
      </c>
      <c r="C965">
        <v>17.07</v>
      </c>
      <c r="D965" t="s">
        <v>1340</v>
      </c>
      <c r="E965" t="str">
        <f>CONCATENATE(J965,". ",N965)</f>
        <v>02. Cramps &amp; Clamps</v>
      </c>
      <c r="F965">
        <v>75</v>
      </c>
      <c r="G965" t="b">
        <v>1</v>
      </c>
      <c r="H965">
        <v>818</v>
      </c>
      <c r="J965" s="193" t="s">
        <v>189</v>
      </c>
      <c r="K965" s="188" t="str">
        <f>IFERROR(_xlfn.XLOOKUP(A965,[1]Fleet!A:A,[1]Fleet!E:E,""),"")</f>
        <v/>
      </c>
      <c r="L965" s="188">
        <v>15.950000000000001</v>
      </c>
      <c r="M965" s="188" t="s">
        <v>2392</v>
      </c>
      <c r="N965" s="188" t="s">
        <v>2382</v>
      </c>
      <c r="O965">
        <v>958</v>
      </c>
      <c r="P965">
        <f>_xlfn.XLOOKUP(A965,'[1]Classic Net to delete'!D:D,'[1]Classic Net to delete'!AA:AA,0)</f>
        <v>818</v>
      </c>
    </row>
    <row r="966" spans="1:16" x14ac:dyDescent="0.25">
      <c r="A966" t="s">
        <v>2393</v>
      </c>
      <c r="B966" t="s">
        <v>2394</v>
      </c>
      <c r="C966">
        <v>7.92</v>
      </c>
      <c r="D966" t="s">
        <v>1340</v>
      </c>
      <c r="E966" t="str">
        <f>CONCATENATE(J966,". ",N966)</f>
        <v>02. Cramps &amp; Clamps</v>
      </c>
      <c r="F966">
        <v>75</v>
      </c>
      <c r="G966" t="b">
        <v>1</v>
      </c>
      <c r="H966">
        <v>819</v>
      </c>
      <c r="J966" s="193" t="s">
        <v>189</v>
      </c>
      <c r="K966" s="188" t="str">
        <f>IFERROR(_xlfn.XLOOKUP(A966,[1]Fleet!A:A,[1]Fleet!E:E,""),"")</f>
        <v/>
      </c>
      <c r="L966" s="188">
        <v>7.4</v>
      </c>
      <c r="M966" s="188" t="s">
        <v>2395</v>
      </c>
      <c r="N966" s="188" t="s">
        <v>2382</v>
      </c>
      <c r="O966">
        <v>957</v>
      </c>
      <c r="P966">
        <f>_xlfn.XLOOKUP(A966,'[1]Classic Net to delete'!D:D,'[1]Classic Net to delete'!AA:AA,0)</f>
        <v>819</v>
      </c>
    </row>
    <row r="967" spans="1:16" x14ac:dyDescent="0.25">
      <c r="A967" t="s">
        <v>2404</v>
      </c>
      <c r="B967" t="s">
        <v>2405</v>
      </c>
      <c r="C967">
        <v>13.540000000000001</v>
      </c>
      <c r="D967" t="s">
        <v>1340</v>
      </c>
      <c r="E967" t="str">
        <f>CONCATENATE(J967,". ",N967)</f>
        <v>02. Cramps &amp; Clamps</v>
      </c>
      <c r="F967">
        <v>75</v>
      </c>
      <c r="G967" t="b">
        <v>1</v>
      </c>
      <c r="H967">
        <v>820</v>
      </c>
      <c r="J967" s="193" t="s">
        <v>189</v>
      </c>
      <c r="K967" s="188" t="str">
        <f>IFERROR(_xlfn.XLOOKUP(A967,[1]Fleet!A:A,[1]Fleet!E:E,""),"")</f>
        <v/>
      </c>
      <c r="L967" s="188">
        <v>12.65</v>
      </c>
      <c r="M967" s="188" t="s">
        <v>2406</v>
      </c>
      <c r="N967" s="188" t="s">
        <v>2382</v>
      </c>
      <c r="O967">
        <v>956</v>
      </c>
      <c r="P967">
        <f>_xlfn.XLOOKUP(A967,'[1]Classic Net to delete'!D:D,'[1]Classic Net to delete'!AA:AA,0)</f>
        <v>820</v>
      </c>
    </row>
    <row r="968" spans="1:16" x14ac:dyDescent="0.25">
      <c r="A968" t="s">
        <v>2415</v>
      </c>
      <c r="B968" t="s">
        <v>2416</v>
      </c>
      <c r="C968">
        <v>2.89</v>
      </c>
      <c r="D968" t="s">
        <v>1340</v>
      </c>
      <c r="E968" t="str">
        <f>CONCATENATE(J968,". ",N968)</f>
        <v>02. Cramps &amp; Clamps</v>
      </c>
      <c r="F968">
        <v>75</v>
      </c>
      <c r="G968" t="b">
        <v>1</v>
      </c>
      <c r="H968">
        <v>821</v>
      </c>
      <c r="J968" s="193" t="s">
        <v>189</v>
      </c>
      <c r="K968" s="188" t="str">
        <f>IFERROR(_xlfn.XLOOKUP(A968,[1]Fleet!A:A,[1]Fleet!E:E,""),"")</f>
        <v/>
      </c>
      <c r="L968" s="188">
        <v>2.7</v>
      </c>
      <c r="M968" s="188" t="s">
        <v>2416</v>
      </c>
      <c r="N968" s="188" t="s">
        <v>2382</v>
      </c>
      <c r="O968">
        <v>955</v>
      </c>
      <c r="P968">
        <f>_xlfn.XLOOKUP(A968,'[1]Classic Net to delete'!D:D,'[1]Classic Net to delete'!AA:AA,0)</f>
        <v>821</v>
      </c>
    </row>
    <row r="969" spans="1:16" x14ac:dyDescent="0.25">
      <c r="A969" t="s">
        <v>1410</v>
      </c>
      <c r="B969" t="s">
        <v>1411</v>
      </c>
      <c r="C969">
        <v>12.950000000000001</v>
      </c>
      <c r="D969" t="s">
        <v>1340</v>
      </c>
      <c r="E969" t="str">
        <f>CONCATENATE(J969,". ",N969)</f>
        <v>03. Sanding</v>
      </c>
      <c r="F969">
        <v>75</v>
      </c>
      <c r="G969" t="b">
        <v>1</v>
      </c>
      <c r="H969">
        <v>824</v>
      </c>
      <c r="J969" s="193" t="s">
        <v>188</v>
      </c>
      <c r="K969" s="188">
        <f>IFERROR(_xlfn.XLOOKUP(A969,[1]Fleet!A:A,[1]Fleet!E:E,""),"")</f>
        <v>17</v>
      </c>
      <c r="L969" s="188">
        <v>12.100000000000001</v>
      </c>
      <c r="M969" s="188" t="s">
        <v>1412</v>
      </c>
      <c r="N969" s="188" t="s">
        <v>1342</v>
      </c>
      <c r="O969">
        <v>972</v>
      </c>
      <c r="P969">
        <f>_xlfn.XLOOKUP(A969,'[1]Classic Net to delete'!D:D,'[1]Classic Net to delete'!AA:AA,0)</f>
        <v>824</v>
      </c>
    </row>
    <row r="970" spans="1:16" x14ac:dyDescent="0.25">
      <c r="A970" t="s">
        <v>1396</v>
      </c>
      <c r="B970" t="s">
        <v>1397</v>
      </c>
      <c r="C970">
        <v>30.98</v>
      </c>
      <c r="D970" t="s">
        <v>1340</v>
      </c>
      <c r="E970" t="str">
        <f>CONCATENATE(J970,". ",N970)</f>
        <v>03. Sanding</v>
      </c>
      <c r="F970">
        <v>75</v>
      </c>
      <c r="G970" t="b">
        <v>1</v>
      </c>
      <c r="H970">
        <v>825</v>
      </c>
      <c r="J970" s="193" t="s">
        <v>188</v>
      </c>
      <c r="K970" s="188">
        <f>IFERROR(_xlfn.XLOOKUP(A970,[1]Fleet!A:A,[1]Fleet!E:E,""),"")</f>
        <v>7</v>
      </c>
      <c r="L970" s="188">
        <v>28.950000000000003</v>
      </c>
      <c r="M970" s="188" t="s">
        <v>1398</v>
      </c>
      <c r="N970" s="188" t="s">
        <v>1342</v>
      </c>
      <c r="O970">
        <v>971</v>
      </c>
      <c r="P970">
        <f>_xlfn.XLOOKUP(A970,'[1]Classic Net to delete'!D:D,'[1]Classic Net to delete'!AA:AA,0)</f>
        <v>825</v>
      </c>
    </row>
    <row r="971" spans="1:16" x14ac:dyDescent="0.25">
      <c r="A971" t="s">
        <v>1399</v>
      </c>
      <c r="B971" t="s">
        <v>1400</v>
      </c>
      <c r="C971">
        <v>40.39</v>
      </c>
      <c r="D971" t="s">
        <v>1340</v>
      </c>
      <c r="E971" t="str">
        <f>CONCATENATE(J971,". ",N971)</f>
        <v>03. Sanding</v>
      </c>
      <c r="F971">
        <v>75</v>
      </c>
      <c r="G971" t="b">
        <v>1</v>
      </c>
      <c r="H971">
        <v>826</v>
      </c>
      <c r="J971" s="193" t="s">
        <v>188</v>
      </c>
      <c r="K971" s="188">
        <f>IFERROR(_xlfn.XLOOKUP(A971,[1]Fleet!A:A,[1]Fleet!E:E,""),"")</f>
        <v>6</v>
      </c>
      <c r="L971" s="188">
        <v>37.75</v>
      </c>
      <c r="M971" s="188" t="s">
        <v>1401</v>
      </c>
      <c r="N971" s="188" t="s">
        <v>1342</v>
      </c>
      <c r="O971">
        <v>973</v>
      </c>
      <c r="P971">
        <f>_xlfn.XLOOKUP(A971,'[1]Classic Net to delete'!D:D,'[1]Classic Net to delete'!AA:AA,0)</f>
        <v>826</v>
      </c>
    </row>
    <row r="972" spans="1:16" x14ac:dyDescent="0.25">
      <c r="A972" t="s">
        <v>1381</v>
      </c>
      <c r="B972" t="s">
        <v>1382</v>
      </c>
      <c r="C972">
        <v>36.97</v>
      </c>
      <c r="D972" t="s">
        <v>1340</v>
      </c>
      <c r="E972" t="str">
        <f>CONCATENATE(J972,". ",N972)</f>
        <v>03. Sanding</v>
      </c>
      <c r="F972">
        <v>75</v>
      </c>
      <c r="G972" t="b">
        <v>1</v>
      </c>
      <c r="H972">
        <v>827</v>
      </c>
      <c r="J972" s="193" t="s">
        <v>188</v>
      </c>
      <c r="K972" s="188">
        <f>IFERROR(_xlfn.XLOOKUP(A972,[1]Fleet!A:A,[1]Fleet!E:E,""),"")</f>
        <v>2</v>
      </c>
      <c r="L972" s="188">
        <v>34.550000000000004</v>
      </c>
      <c r="M972" s="188" t="s">
        <v>1382</v>
      </c>
      <c r="N972" s="188" t="s">
        <v>1342</v>
      </c>
      <c r="O972">
        <v>968</v>
      </c>
      <c r="P972">
        <f>_xlfn.XLOOKUP(A972,'[1]Classic Net to delete'!D:D,'[1]Classic Net to delete'!AA:AA,0)</f>
        <v>827</v>
      </c>
    </row>
    <row r="973" spans="1:16" x14ac:dyDescent="0.25">
      <c r="A973" t="s">
        <v>1338</v>
      </c>
      <c r="B973" t="s">
        <v>1339</v>
      </c>
      <c r="C973">
        <v>43.87</v>
      </c>
      <c r="D973" t="s">
        <v>1340</v>
      </c>
      <c r="E973" t="str">
        <f>CONCATENATE(J973,". ",N973)</f>
        <v>03. Sanding</v>
      </c>
      <c r="F973">
        <v>75</v>
      </c>
      <c r="G973" t="b">
        <v>1</v>
      </c>
      <c r="H973">
        <v>828</v>
      </c>
      <c r="J973" s="193" t="s">
        <v>188</v>
      </c>
      <c r="K973" s="188">
        <f>IFERROR(_xlfn.XLOOKUP(A973,[1]Fleet!A:A,[1]Fleet!E:E,""),"")</f>
        <v>3</v>
      </c>
      <c r="L973" s="188">
        <v>41</v>
      </c>
      <c r="M973" s="188" t="s">
        <v>1341</v>
      </c>
      <c r="N973" s="188" t="s">
        <v>1342</v>
      </c>
      <c r="O973">
        <v>967</v>
      </c>
      <c r="P973">
        <f>_xlfn.XLOOKUP(A973,'[1]Classic Net to delete'!D:D,'[1]Classic Net to delete'!AA:AA,0)</f>
        <v>828</v>
      </c>
    </row>
    <row r="974" spans="1:16" x14ac:dyDescent="0.25">
      <c r="A974" t="s">
        <v>1389</v>
      </c>
      <c r="B974" t="s">
        <v>1390</v>
      </c>
      <c r="C974">
        <v>118.76</v>
      </c>
      <c r="D974" t="s">
        <v>1340</v>
      </c>
      <c r="E974" t="str">
        <f>CONCATENATE(J974,". ",N974)</f>
        <v>03. Sanding</v>
      </c>
      <c r="F974">
        <v>75</v>
      </c>
      <c r="G974" t="b">
        <v>1</v>
      </c>
      <c r="H974">
        <v>829</v>
      </c>
      <c r="J974" s="193" t="s">
        <v>188</v>
      </c>
      <c r="K974" s="188">
        <f>IFERROR(_xlfn.XLOOKUP(A974,[1]Fleet!A:A,[1]Fleet!E:E,""),"")</f>
        <v>7</v>
      </c>
      <c r="L974" s="188">
        <v>91.350000000000009</v>
      </c>
      <c r="M974" s="188" t="s">
        <v>1391</v>
      </c>
      <c r="N974" s="188" t="s">
        <v>1342</v>
      </c>
      <c r="O974">
        <v>970</v>
      </c>
      <c r="P974">
        <f>_xlfn.XLOOKUP(A974,'[1]Classic Net to delete'!D:D,'[1]Classic Net to delete'!AA:AA,0)</f>
        <v>829</v>
      </c>
    </row>
    <row r="975" spans="1:16" x14ac:dyDescent="0.25">
      <c r="A975" t="s">
        <v>1386</v>
      </c>
      <c r="B975" t="s">
        <v>1387</v>
      </c>
      <c r="C975">
        <v>74.36</v>
      </c>
      <c r="D975" t="s">
        <v>1340</v>
      </c>
      <c r="E975" t="str">
        <f>CONCATENATE(J975,". ",N975)</f>
        <v>03. Sanding</v>
      </c>
      <c r="F975">
        <v>75</v>
      </c>
      <c r="G975" t="b">
        <v>1</v>
      </c>
      <c r="H975">
        <v>830</v>
      </c>
      <c r="J975" s="193" t="s">
        <v>188</v>
      </c>
      <c r="K975" s="188">
        <f>IFERROR(_xlfn.XLOOKUP(A975,[1]Fleet!A:A,[1]Fleet!E:E,""),"")</f>
        <v>4</v>
      </c>
      <c r="L975" s="188">
        <v>57.2</v>
      </c>
      <c r="M975" s="188" t="s">
        <v>1388</v>
      </c>
      <c r="N975" s="188" t="s">
        <v>1342</v>
      </c>
      <c r="O975">
        <v>969</v>
      </c>
      <c r="P975">
        <f>_xlfn.XLOOKUP(A975,'[1]Classic Net to delete'!D:D,'[1]Classic Net to delete'!AA:AA,0)</f>
        <v>830</v>
      </c>
    </row>
    <row r="976" spans="1:16" x14ac:dyDescent="0.25">
      <c r="A976" t="s">
        <v>1456</v>
      </c>
      <c r="B976" t="s">
        <v>1457</v>
      </c>
      <c r="C976">
        <v>50.34</v>
      </c>
      <c r="D976" t="s">
        <v>1340</v>
      </c>
      <c r="E976" t="str">
        <f>CONCATENATE(J976,". ",N976)</f>
        <v>03. Sanding</v>
      </c>
      <c r="F976">
        <v>75</v>
      </c>
      <c r="G976" t="b">
        <v>1</v>
      </c>
      <c r="H976">
        <v>831</v>
      </c>
      <c r="J976" s="193" t="s">
        <v>188</v>
      </c>
      <c r="K976" s="188">
        <f>IFERROR(_xlfn.XLOOKUP(A976,[1]Fleet!A:A,[1]Fleet!E:E,""),"")</f>
        <v>31</v>
      </c>
      <c r="L976" s="188">
        <v>47.050000000000004</v>
      </c>
      <c r="M976" s="188" t="s">
        <v>1457</v>
      </c>
      <c r="N976" s="188" t="s">
        <v>1342</v>
      </c>
      <c r="O976">
        <v>975</v>
      </c>
      <c r="P976">
        <f>_xlfn.XLOOKUP(A976,'[1]Classic Net to delete'!D:D,'[1]Classic Net to delete'!AA:AA,0)</f>
        <v>831</v>
      </c>
    </row>
    <row r="977" spans="1:16" x14ac:dyDescent="0.25">
      <c r="A977" t="s">
        <v>1458</v>
      </c>
      <c r="B977" t="s">
        <v>1459</v>
      </c>
      <c r="C977">
        <v>87.38</v>
      </c>
      <c r="D977" t="s">
        <v>1340</v>
      </c>
      <c r="E977" t="str">
        <f>CONCATENATE(J977,". ",N977)</f>
        <v>03. Sanding</v>
      </c>
      <c r="F977">
        <v>75</v>
      </c>
      <c r="G977" t="b">
        <v>1</v>
      </c>
      <c r="H977">
        <v>832</v>
      </c>
      <c r="J977" s="193" t="s">
        <v>188</v>
      </c>
      <c r="K977" s="188">
        <f>IFERROR(_xlfn.XLOOKUP(A977,[1]Fleet!A:A,[1]Fleet!E:E,""),"")</f>
        <v>24</v>
      </c>
      <c r="L977" s="188">
        <v>74.05</v>
      </c>
      <c r="M977" s="188" t="s">
        <v>1460</v>
      </c>
      <c r="N977" s="188" t="s">
        <v>1342</v>
      </c>
      <c r="O977">
        <v>976</v>
      </c>
      <c r="P977">
        <f>_xlfn.XLOOKUP(A977,'[1]Classic Net to delete'!D:D,'[1]Classic Net to delete'!AA:AA,0)</f>
        <v>832</v>
      </c>
    </row>
    <row r="978" spans="1:16" x14ac:dyDescent="0.25">
      <c r="A978" t="s">
        <v>1892</v>
      </c>
      <c r="B978" t="s">
        <v>1893</v>
      </c>
      <c r="C978">
        <v>5.72</v>
      </c>
      <c r="E978" t="str">
        <f>CONCATENATE(J978,". ",N978)</f>
        <v xml:space="preserve">. </v>
      </c>
      <c r="F978">
        <v>75</v>
      </c>
      <c r="G978" t="b">
        <v>0</v>
      </c>
      <c r="K978" s="188" t="str">
        <f>IFERROR(_xlfn.XLOOKUP(A978,[1]Fleet!A:A,[1]Fleet!E:E,""),"")</f>
        <v/>
      </c>
      <c r="L978" s="188" t="s">
        <v>76</v>
      </c>
      <c r="M978" s="188" t="s">
        <v>76</v>
      </c>
      <c r="O978">
        <v>1268</v>
      </c>
      <c r="P978">
        <f>_xlfn.XLOOKUP(A978,'[1]Classic Net to delete'!D:D,'[1]Classic Net to delete'!AA:AA,0)</f>
        <v>0</v>
      </c>
    </row>
    <row r="979" spans="1:16" x14ac:dyDescent="0.25">
      <c r="A979" t="s">
        <v>1894</v>
      </c>
      <c r="B979" t="s">
        <v>1895</v>
      </c>
      <c r="C979">
        <v>5.72</v>
      </c>
      <c r="E979" t="str">
        <f>CONCATENATE(J979,". ",N979)</f>
        <v xml:space="preserve">. </v>
      </c>
      <c r="F979">
        <v>75</v>
      </c>
      <c r="G979" t="b">
        <v>0</v>
      </c>
      <c r="K979" s="188" t="str">
        <f>IFERROR(_xlfn.XLOOKUP(A979,[1]Fleet!A:A,[1]Fleet!E:E,""),"")</f>
        <v/>
      </c>
      <c r="L979" s="188" t="s">
        <v>76</v>
      </c>
      <c r="M979" s="188" t="s">
        <v>76</v>
      </c>
      <c r="O979">
        <v>1267</v>
      </c>
      <c r="P979">
        <f>_xlfn.XLOOKUP(A979,'[1]Classic Net to delete'!D:D,'[1]Classic Net to delete'!AA:AA,0)</f>
        <v>0</v>
      </c>
    </row>
    <row r="980" spans="1:16" x14ac:dyDescent="0.25">
      <c r="A980" t="s">
        <v>1899</v>
      </c>
      <c r="B980" t="s">
        <v>1900</v>
      </c>
      <c r="C980">
        <v>3.8000000000000003</v>
      </c>
      <c r="E980" t="str">
        <f>CONCATENATE(J980,". ",N980)</f>
        <v xml:space="preserve">. </v>
      </c>
      <c r="F980">
        <v>75</v>
      </c>
      <c r="G980" t="b">
        <v>0</v>
      </c>
      <c r="K980" s="188" t="str">
        <f>IFERROR(_xlfn.XLOOKUP(A980,[1]Fleet!A:A,[1]Fleet!E:E,""),"")</f>
        <v/>
      </c>
      <c r="L980" s="188" t="s">
        <v>76</v>
      </c>
      <c r="M980" s="188" t="s">
        <v>76</v>
      </c>
      <c r="O980">
        <v>1266</v>
      </c>
      <c r="P980">
        <f>_xlfn.XLOOKUP(A980,'[1]Classic Net to delete'!D:D,'[1]Classic Net to delete'!AA:AA,0)</f>
        <v>0</v>
      </c>
    </row>
    <row r="981" spans="1:16" x14ac:dyDescent="0.25">
      <c r="A981" t="s">
        <v>1907</v>
      </c>
      <c r="B981" t="s">
        <v>1908</v>
      </c>
      <c r="C981">
        <v>2.89</v>
      </c>
      <c r="E981" t="str">
        <f>CONCATENATE(J981,". ",N981)</f>
        <v xml:space="preserve">. </v>
      </c>
      <c r="F981">
        <v>75</v>
      </c>
      <c r="G981" t="b">
        <v>0</v>
      </c>
      <c r="K981" s="188" t="str">
        <f>IFERROR(_xlfn.XLOOKUP(A981,[1]Fleet!A:A,[1]Fleet!E:E,""),"")</f>
        <v/>
      </c>
      <c r="L981" s="188" t="s">
        <v>76</v>
      </c>
      <c r="M981" s="188" t="s">
        <v>76</v>
      </c>
      <c r="O981">
        <v>1265</v>
      </c>
      <c r="P981">
        <f>_xlfn.XLOOKUP(A981,'[1]Classic Net to delete'!D:D,'[1]Classic Net to delete'!AA:AA,0)</f>
        <v>0</v>
      </c>
    </row>
    <row r="982" spans="1:16" x14ac:dyDescent="0.25">
      <c r="A982" t="s">
        <v>1909</v>
      </c>
      <c r="B982" t="s">
        <v>1910</v>
      </c>
      <c r="C982">
        <v>4.4400000000000004</v>
      </c>
      <c r="E982" t="str">
        <f>CONCATENATE(J982,". ",N982)</f>
        <v xml:space="preserve">. </v>
      </c>
      <c r="F982">
        <v>75</v>
      </c>
      <c r="G982" t="b">
        <v>0</v>
      </c>
      <c r="K982" s="188" t="str">
        <f>IFERROR(_xlfn.XLOOKUP(A982,[1]Fleet!A:A,[1]Fleet!E:E,""),"")</f>
        <v/>
      </c>
      <c r="L982" s="188" t="s">
        <v>76</v>
      </c>
      <c r="M982" s="188" t="s">
        <v>76</v>
      </c>
      <c r="O982">
        <v>1264</v>
      </c>
      <c r="P982">
        <f>_xlfn.XLOOKUP(A982,'[1]Classic Net to delete'!D:D,'[1]Classic Net to delete'!AA:AA,0)</f>
        <v>0</v>
      </c>
    </row>
    <row r="983" spans="1:16" x14ac:dyDescent="0.25">
      <c r="A983" t="s">
        <v>1911</v>
      </c>
      <c r="B983" t="s">
        <v>1912</v>
      </c>
      <c r="C983">
        <v>4.12</v>
      </c>
      <c r="E983" t="str">
        <f>CONCATENATE(J983,". ",N983)</f>
        <v xml:space="preserve">. </v>
      </c>
      <c r="F983">
        <v>75</v>
      </c>
      <c r="G983" t="b">
        <v>0</v>
      </c>
      <c r="K983" s="188" t="str">
        <f>IFERROR(_xlfn.XLOOKUP(A983,[1]Fleet!A:A,[1]Fleet!E:E,""),"")</f>
        <v/>
      </c>
      <c r="L983" s="188" t="s">
        <v>76</v>
      </c>
      <c r="M983" s="188" t="s">
        <v>76</v>
      </c>
      <c r="O983">
        <v>1263</v>
      </c>
      <c r="P983">
        <f>_xlfn.XLOOKUP(A983,'[1]Classic Net to delete'!D:D,'[1]Classic Net to delete'!AA:AA,0)</f>
        <v>0</v>
      </c>
    </row>
    <row r="984" spans="1:16" x14ac:dyDescent="0.25">
      <c r="A984" t="s">
        <v>1913</v>
      </c>
      <c r="B984" t="s">
        <v>1914</v>
      </c>
      <c r="C984">
        <v>4.12</v>
      </c>
      <c r="E984" t="str">
        <f>CONCATENATE(J984,". ",N984)</f>
        <v xml:space="preserve">. </v>
      </c>
      <c r="F984">
        <v>75</v>
      </c>
      <c r="G984" t="b">
        <v>0</v>
      </c>
      <c r="K984" s="188" t="str">
        <f>IFERROR(_xlfn.XLOOKUP(A984,[1]Fleet!A:A,[1]Fleet!E:E,""),"")</f>
        <v/>
      </c>
      <c r="L984" s="188" t="s">
        <v>76</v>
      </c>
      <c r="M984" s="188" t="s">
        <v>76</v>
      </c>
      <c r="O984">
        <v>1262</v>
      </c>
      <c r="P984">
        <f>_xlfn.XLOOKUP(A984,'[1]Classic Net to delete'!D:D,'[1]Classic Net to delete'!AA:AA,0)</f>
        <v>0</v>
      </c>
    </row>
    <row r="985" spans="1:16" x14ac:dyDescent="0.25">
      <c r="A985" t="s">
        <v>1915</v>
      </c>
      <c r="B985" t="s">
        <v>1916</v>
      </c>
      <c r="C985">
        <v>4.12</v>
      </c>
      <c r="E985" t="str">
        <f>CONCATENATE(J985,". ",N985)</f>
        <v xml:space="preserve">. </v>
      </c>
      <c r="F985">
        <v>75</v>
      </c>
      <c r="G985" t="b">
        <v>0</v>
      </c>
      <c r="K985" s="188" t="str">
        <f>IFERROR(_xlfn.XLOOKUP(A985,[1]Fleet!A:A,[1]Fleet!E:E,""),"")</f>
        <v/>
      </c>
      <c r="L985" s="188" t="s">
        <v>76</v>
      </c>
      <c r="M985" s="188" t="s">
        <v>76</v>
      </c>
      <c r="O985">
        <v>1261</v>
      </c>
      <c r="P985">
        <f>_xlfn.XLOOKUP(A985,'[1]Classic Net to delete'!D:D,'[1]Classic Net to delete'!AA:AA,0)</f>
        <v>0</v>
      </c>
    </row>
    <row r="986" spans="1:16" x14ac:dyDescent="0.25">
      <c r="A986" t="s">
        <v>1917</v>
      </c>
      <c r="B986" t="s">
        <v>1918</v>
      </c>
      <c r="C986">
        <v>12.63</v>
      </c>
      <c r="E986" t="str">
        <f>CONCATENATE(J986,". ",N986)</f>
        <v xml:space="preserve">. </v>
      </c>
      <c r="F986">
        <v>75</v>
      </c>
      <c r="G986" t="b">
        <v>0</v>
      </c>
      <c r="K986" s="188" t="str">
        <f>IFERROR(_xlfn.XLOOKUP(A986,[1]Fleet!A:A,[1]Fleet!E:E,""),"")</f>
        <v/>
      </c>
      <c r="L986" s="188" t="s">
        <v>76</v>
      </c>
      <c r="M986" s="188" t="s">
        <v>76</v>
      </c>
      <c r="O986">
        <v>1260</v>
      </c>
      <c r="P986">
        <f>_xlfn.XLOOKUP(A986,'[1]Classic Net to delete'!D:D,'[1]Classic Net to delete'!AA:AA,0)</f>
        <v>0</v>
      </c>
    </row>
    <row r="987" spans="1:16" x14ac:dyDescent="0.25">
      <c r="A987" t="s">
        <v>1919</v>
      </c>
      <c r="B987" t="s">
        <v>1920</v>
      </c>
      <c r="C987">
        <v>12.63</v>
      </c>
      <c r="E987" t="str">
        <f>CONCATENATE(J987,". ",N987)</f>
        <v xml:space="preserve">. </v>
      </c>
      <c r="F987">
        <v>75</v>
      </c>
      <c r="G987" t="b">
        <v>0</v>
      </c>
      <c r="K987" s="188" t="str">
        <f>IFERROR(_xlfn.XLOOKUP(A987,[1]Fleet!A:A,[1]Fleet!E:E,""),"")</f>
        <v/>
      </c>
      <c r="L987" s="188" t="s">
        <v>76</v>
      </c>
      <c r="M987" s="188" t="s">
        <v>76</v>
      </c>
      <c r="O987">
        <v>1259</v>
      </c>
      <c r="P987">
        <f>_xlfn.XLOOKUP(A987,'[1]Classic Net to delete'!D:D,'[1]Classic Net to delete'!AA:AA,0)</f>
        <v>0</v>
      </c>
    </row>
    <row r="988" spans="1:16" x14ac:dyDescent="0.25">
      <c r="A988" t="s">
        <v>1921</v>
      </c>
      <c r="B988" t="s">
        <v>1922</v>
      </c>
      <c r="C988">
        <v>33.76</v>
      </c>
      <c r="E988" t="str">
        <f>CONCATENATE(J988,". ",N988)</f>
        <v xml:space="preserve">. </v>
      </c>
      <c r="F988">
        <v>75</v>
      </c>
      <c r="G988" t="b">
        <v>0</v>
      </c>
      <c r="K988" s="188" t="str">
        <f>IFERROR(_xlfn.XLOOKUP(A988,[1]Fleet!A:A,[1]Fleet!E:E,""),"")</f>
        <v/>
      </c>
      <c r="L988" s="188" t="s">
        <v>76</v>
      </c>
      <c r="M988" s="188" t="s">
        <v>76</v>
      </c>
      <c r="O988">
        <v>1258</v>
      </c>
      <c r="P988">
        <f>_xlfn.XLOOKUP(A988,'[1]Classic Net to delete'!D:D,'[1]Classic Net to delete'!AA:AA,0)</f>
        <v>0</v>
      </c>
    </row>
    <row r="989" spans="1:16" x14ac:dyDescent="0.25">
      <c r="A989" t="s">
        <v>1923</v>
      </c>
      <c r="B989" t="s">
        <v>1924</v>
      </c>
      <c r="C989">
        <v>20.22</v>
      </c>
      <c r="E989" t="str">
        <f>CONCATENATE(J989,". ",N989)</f>
        <v xml:space="preserve">. </v>
      </c>
      <c r="F989">
        <v>75</v>
      </c>
      <c r="G989" t="b">
        <v>0</v>
      </c>
      <c r="K989" s="188" t="str">
        <f>IFERROR(_xlfn.XLOOKUP(A989,[1]Fleet!A:A,[1]Fleet!E:E,""),"")</f>
        <v/>
      </c>
      <c r="L989" s="188" t="s">
        <v>76</v>
      </c>
      <c r="M989" s="188" t="s">
        <v>76</v>
      </c>
      <c r="O989">
        <v>1257</v>
      </c>
      <c r="P989">
        <f>_xlfn.XLOOKUP(A989,'[1]Classic Net to delete'!D:D,'[1]Classic Net to delete'!AA:AA,0)</f>
        <v>0</v>
      </c>
    </row>
    <row r="990" spans="1:16" x14ac:dyDescent="0.25">
      <c r="A990" t="s">
        <v>1927</v>
      </c>
      <c r="B990" t="s">
        <v>1928</v>
      </c>
      <c r="C990">
        <v>10.540000000000001</v>
      </c>
      <c r="E990" t="str">
        <f>CONCATENATE(J990,". ",N990)</f>
        <v xml:space="preserve">. </v>
      </c>
      <c r="F990">
        <v>75</v>
      </c>
      <c r="G990" t="b">
        <v>0</v>
      </c>
      <c r="K990" s="188" t="str">
        <f>IFERROR(_xlfn.XLOOKUP(A990,[1]Fleet!A:A,[1]Fleet!E:E,""),"")</f>
        <v/>
      </c>
      <c r="L990" s="188" t="s">
        <v>76</v>
      </c>
      <c r="M990" s="188" t="s">
        <v>76</v>
      </c>
      <c r="O990">
        <v>1256</v>
      </c>
      <c r="P990">
        <f>_xlfn.XLOOKUP(A990,'[1]Classic Net to delete'!D:D,'[1]Classic Net to delete'!AA:AA,0)</f>
        <v>0</v>
      </c>
    </row>
    <row r="991" spans="1:16" x14ac:dyDescent="0.25">
      <c r="A991" t="s">
        <v>1929</v>
      </c>
      <c r="B991" t="s">
        <v>1930</v>
      </c>
      <c r="C991">
        <v>10.540000000000001</v>
      </c>
      <c r="E991" t="str">
        <f>CONCATENATE(J991,". ",N991)</f>
        <v xml:space="preserve">. </v>
      </c>
      <c r="F991">
        <v>75</v>
      </c>
      <c r="G991" t="b">
        <v>0</v>
      </c>
      <c r="K991" s="188" t="str">
        <f>IFERROR(_xlfn.XLOOKUP(A991,[1]Fleet!A:A,[1]Fleet!E:E,""),"")</f>
        <v/>
      </c>
      <c r="L991" s="188" t="s">
        <v>76</v>
      </c>
      <c r="M991" s="188" t="s">
        <v>76</v>
      </c>
      <c r="O991">
        <v>1255</v>
      </c>
      <c r="P991">
        <f>_xlfn.XLOOKUP(A991,'[1]Classic Net to delete'!D:D,'[1]Classic Net to delete'!AA:AA,0)</f>
        <v>0</v>
      </c>
    </row>
    <row r="992" spans="1:16" x14ac:dyDescent="0.25">
      <c r="A992" t="s">
        <v>1935</v>
      </c>
      <c r="B992" t="s">
        <v>1936</v>
      </c>
      <c r="C992">
        <v>15.84</v>
      </c>
      <c r="E992" t="str">
        <f>CONCATENATE(J992,". ",N992)</f>
        <v xml:space="preserve">. </v>
      </c>
      <c r="F992">
        <v>75</v>
      </c>
      <c r="G992" t="b">
        <v>0</v>
      </c>
      <c r="K992" s="188" t="str">
        <f>IFERROR(_xlfn.XLOOKUP(A992,[1]Fleet!A:A,[1]Fleet!E:E,""),"")</f>
        <v/>
      </c>
      <c r="L992" s="188" t="s">
        <v>76</v>
      </c>
      <c r="M992" s="188" t="s">
        <v>76</v>
      </c>
      <c r="O992">
        <v>1254</v>
      </c>
      <c r="P992">
        <f>_xlfn.XLOOKUP(A992,'[1]Classic Net to delete'!D:D,'[1]Classic Net to delete'!AA:AA,0)</f>
        <v>0</v>
      </c>
    </row>
    <row r="993" spans="1:16" x14ac:dyDescent="0.25">
      <c r="A993" t="s">
        <v>1937</v>
      </c>
      <c r="B993" t="s">
        <v>1938</v>
      </c>
      <c r="C993">
        <v>10.540000000000001</v>
      </c>
      <c r="E993" t="str">
        <f>CONCATENATE(J993,". ",N993)</f>
        <v xml:space="preserve">. </v>
      </c>
      <c r="F993">
        <v>75</v>
      </c>
      <c r="G993" t="b">
        <v>0</v>
      </c>
      <c r="K993" s="188" t="str">
        <f>IFERROR(_xlfn.XLOOKUP(A993,[1]Fleet!A:A,[1]Fleet!E:E,""),"")</f>
        <v/>
      </c>
      <c r="L993" s="188" t="s">
        <v>76</v>
      </c>
      <c r="M993" s="188" t="s">
        <v>76</v>
      </c>
      <c r="O993">
        <v>1253</v>
      </c>
      <c r="P993">
        <f>_xlfn.XLOOKUP(A993,'[1]Classic Net to delete'!D:D,'[1]Classic Net to delete'!AA:AA,0)</f>
        <v>0</v>
      </c>
    </row>
    <row r="994" spans="1:16" x14ac:dyDescent="0.25">
      <c r="A994" t="s">
        <v>1941</v>
      </c>
      <c r="B994" t="s">
        <v>1942</v>
      </c>
      <c r="C994">
        <v>23.38</v>
      </c>
      <c r="E994" t="str">
        <f>CONCATENATE(J994,". ",N994)</f>
        <v xml:space="preserve">. </v>
      </c>
      <c r="F994">
        <v>75</v>
      </c>
      <c r="G994" t="b">
        <v>0</v>
      </c>
      <c r="K994" s="188" t="str">
        <f>IFERROR(_xlfn.XLOOKUP(A994,[1]Fleet!A:A,[1]Fleet!E:E,""),"")</f>
        <v/>
      </c>
      <c r="L994" s="188" t="s">
        <v>76</v>
      </c>
      <c r="M994" s="188" t="s">
        <v>76</v>
      </c>
      <c r="O994">
        <v>1252</v>
      </c>
      <c r="P994">
        <f>_xlfn.XLOOKUP(A994,'[1]Classic Net to delete'!D:D,'[1]Classic Net to delete'!AA:AA,0)</f>
        <v>0</v>
      </c>
    </row>
    <row r="995" spans="1:16" x14ac:dyDescent="0.25">
      <c r="A995" t="s">
        <v>1943</v>
      </c>
      <c r="B995" t="s">
        <v>1944</v>
      </c>
      <c r="C995">
        <v>10.540000000000001</v>
      </c>
      <c r="E995" t="str">
        <f>CONCATENATE(J995,". ",N995)</f>
        <v xml:space="preserve">. </v>
      </c>
      <c r="F995">
        <v>75</v>
      </c>
      <c r="G995" t="b">
        <v>0</v>
      </c>
      <c r="K995" s="188" t="str">
        <f>IFERROR(_xlfn.XLOOKUP(A995,[1]Fleet!A:A,[1]Fleet!E:E,""),"")</f>
        <v/>
      </c>
      <c r="L995" s="188" t="s">
        <v>76</v>
      </c>
      <c r="M995" s="188" t="s">
        <v>76</v>
      </c>
      <c r="O995">
        <v>1251</v>
      </c>
      <c r="P995">
        <f>_xlfn.XLOOKUP(A995,'[1]Classic Net to delete'!D:D,'[1]Classic Net to delete'!AA:AA,0)</f>
        <v>0</v>
      </c>
    </row>
    <row r="996" spans="1:16" x14ac:dyDescent="0.25">
      <c r="A996" t="s">
        <v>1945</v>
      </c>
      <c r="B996" t="s">
        <v>1946</v>
      </c>
      <c r="C996">
        <v>23.38</v>
      </c>
      <c r="E996" t="str">
        <f>CONCATENATE(J996,". ",N996)</f>
        <v xml:space="preserve">. </v>
      </c>
      <c r="F996">
        <v>75</v>
      </c>
      <c r="G996" t="b">
        <v>0</v>
      </c>
      <c r="K996" s="188" t="str">
        <f>IFERROR(_xlfn.XLOOKUP(A996,[1]Fleet!A:A,[1]Fleet!E:E,""),"")</f>
        <v/>
      </c>
      <c r="L996" s="188" t="s">
        <v>76</v>
      </c>
      <c r="M996" s="188" t="s">
        <v>76</v>
      </c>
      <c r="O996">
        <v>1250</v>
      </c>
      <c r="P996">
        <f>_xlfn.XLOOKUP(A996,'[1]Classic Net to delete'!D:D,'[1]Classic Net to delete'!AA:AA,0)</f>
        <v>0</v>
      </c>
    </row>
    <row r="997" spans="1:16" x14ac:dyDescent="0.25">
      <c r="A997" t="s">
        <v>1947</v>
      </c>
      <c r="B997" t="s">
        <v>1948</v>
      </c>
      <c r="C997">
        <v>23.38</v>
      </c>
      <c r="E997" t="str">
        <f>CONCATENATE(J997,". ",N997)</f>
        <v xml:space="preserve">. </v>
      </c>
      <c r="F997">
        <v>75</v>
      </c>
      <c r="G997" t="b">
        <v>0</v>
      </c>
      <c r="K997" s="188" t="str">
        <f>IFERROR(_xlfn.XLOOKUP(A997,[1]Fleet!A:A,[1]Fleet!E:E,""),"")</f>
        <v/>
      </c>
      <c r="L997" s="188" t="s">
        <v>76</v>
      </c>
      <c r="M997" s="188" t="s">
        <v>76</v>
      </c>
      <c r="O997">
        <v>1249</v>
      </c>
      <c r="P997">
        <f>_xlfn.XLOOKUP(A997,'[1]Classic Net to delete'!D:D,'[1]Classic Net to delete'!AA:AA,0)</f>
        <v>0</v>
      </c>
    </row>
    <row r="998" spans="1:16" x14ac:dyDescent="0.25">
      <c r="A998" t="s">
        <v>1949</v>
      </c>
      <c r="B998" t="s">
        <v>1950</v>
      </c>
      <c r="C998">
        <v>3.8000000000000003</v>
      </c>
      <c r="E998" t="str">
        <f>CONCATENATE(J998,". ",N998)</f>
        <v xml:space="preserve">. </v>
      </c>
      <c r="F998">
        <v>75</v>
      </c>
      <c r="G998" t="b">
        <v>0</v>
      </c>
      <c r="K998" s="188" t="str">
        <f>IFERROR(_xlfn.XLOOKUP(A998,[1]Fleet!A:A,[1]Fleet!E:E,""),"")</f>
        <v/>
      </c>
      <c r="L998" s="188" t="s">
        <v>76</v>
      </c>
      <c r="M998" s="188" t="s">
        <v>76</v>
      </c>
      <c r="O998">
        <v>1248</v>
      </c>
      <c r="P998">
        <f>_xlfn.XLOOKUP(A998,'[1]Classic Net to delete'!D:D,'[1]Classic Net to delete'!AA:AA,0)</f>
        <v>0</v>
      </c>
    </row>
    <row r="999" spans="1:16" x14ac:dyDescent="0.25">
      <c r="A999" t="s">
        <v>1951</v>
      </c>
      <c r="B999" t="s">
        <v>1952</v>
      </c>
      <c r="C999">
        <v>3.8000000000000003</v>
      </c>
      <c r="E999" t="str">
        <f>CONCATENATE(J999,". ",N999)</f>
        <v xml:space="preserve">. </v>
      </c>
      <c r="F999">
        <v>75</v>
      </c>
      <c r="G999" t="b">
        <v>0</v>
      </c>
      <c r="K999" s="188" t="str">
        <f>IFERROR(_xlfn.XLOOKUP(A999,[1]Fleet!A:A,[1]Fleet!E:E,""),"")</f>
        <v/>
      </c>
      <c r="L999" s="188" t="s">
        <v>76</v>
      </c>
      <c r="M999" s="188" t="s">
        <v>76</v>
      </c>
      <c r="O999">
        <v>1247</v>
      </c>
      <c r="P999">
        <f>_xlfn.XLOOKUP(A999,'[1]Classic Net to delete'!D:D,'[1]Classic Net to delete'!AA:AA,0)</f>
        <v>0</v>
      </c>
    </row>
    <row r="1000" spans="1:16" x14ac:dyDescent="0.25">
      <c r="A1000" t="s">
        <v>1953</v>
      </c>
      <c r="B1000" t="s">
        <v>1954</v>
      </c>
      <c r="C1000">
        <v>3.8000000000000003</v>
      </c>
      <c r="E1000" t="str">
        <f>CONCATENATE(J1000,". ",N1000)</f>
        <v xml:space="preserve">. </v>
      </c>
      <c r="F1000">
        <v>75</v>
      </c>
      <c r="G1000" t="b">
        <v>0</v>
      </c>
      <c r="K1000" s="188" t="str">
        <f>IFERROR(_xlfn.XLOOKUP(A1000,[1]Fleet!A:A,[1]Fleet!E:E,""),"")</f>
        <v/>
      </c>
      <c r="L1000" s="188" t="s">
        <v>76</v>
      </c>
      <c r="M1000" s="188" t="s">
        <v>76</v>
      </c>
      <c r="O1000">
        <v>1246</v>
      </c>
      <c r="P1000">
        <f>_xlfn.XLOOKUP(A1000,'[1]Classic Net to delete'!D:D,'[1]Classic Net to delete'!AA:AA,0)</f>
        <v>0</v>
      </c>
    </row>
    <row r="1001" spans="1:16" x14ac:dyDescent="0.25">
      <c r="A1001" t="s">
        <v>1955</v>
      </c>
      <c r="B1001" t="s">
        <v>1956</v>
      </c>
      <c r="C1001">
        <v>3.8000000000000003</v>
      </c>
      <c r="E1001" t="str">
        <f>CONCATENATE(J1001,". ",N1001)</f>
        <v xml:space="preserve">. </v>
      </c>
      <c r="F1001">
        <v>75</v>
      </c>
      <c r="G1001" t="b">
        <v>0</v>
      </c>
      <c r="K1001" s="188" t="str">
        <f>IFERROR(_xlfn.XLOOKUP(A1001,[1]Fleet!A:A,[1]Fleet!E:E,""),"")</f>
        <v/>
      </c>
      <c r="L1001" s="188" t="s">
        <v>76</v>
      </c>
      <c r="M1001" s="188" t="s">
        <v>76</v>
      </c>
      <c r="O1001">
        <v>1245</v>
      </c>
      <c r="P1001">
        <f>_xlfn.XLOOKUP(A1001,'[1]Classic Net to delete'!D:D,'[1]Classic Net to delete'!AA:AA,0)</f>
        <v>0</v>
      </c>
    </row>
    <row r="1002" spans="1:16" x14ac:dyDescent="0.25">
      <c r="A1002" t="s">
        <v>1957</v>
      </c>
      <c r="B1002" t="s">
        <v>1958</v>
      </c>
      <c r="C1002">
        <v>3.8000000000000003</v>
      </c>
      <c r="E1002" t="str">
        <f>CONCATENATE(J1002,". ",N1002)</f>
        <v xml:space="preserve">. </v>
      </c>
      <c r="F1002">
        <v>75</v>
      </c>
      <c r="G1002" t="b">
        <v>0</v>
      </c>
      <c r="K1002" s="188" t="str">
        <f>IFERROR(_xlfn.XLOOKUP(A1002,[1]Fleet!A:A,[1]Fleet!E:E,""),"")</f>
        <v/>
      </c>
      <c r="L1002" s="188" t="s">
        <v>76</v>
      </c>
      <c r="M1002" s="188" t="s">
        <v>76</v>
      </c>
      <c r="O1002">
        <v>1244</v>
      </c>
      <c r="P1002">
        <f>_xlfn.XLOOKUP(A1002,'[1]Classic Net to delete'!D:D,'[1]Classic Net to delete'!AA:AA,0)</f>
        <v>0</v>
      </c>
    </row>
    <row r="1003" spans="1:16" x14ac:dyDescent="0.25">
      <c r="A1003" t="s">
        <v>1959</v>
      </c>
      <c r="B1003" t="s">
        <v>1960</v>
      </c>
      <c r="C1003">
        <v>0</v>
      </c>
      <c r="E1003" t="str">
        <f>CONCATENATE(J1003,". ",N1003)</f>
        <v xml:space="preserve">. </v>
      </c>
      <c r="F1003">
        <v>75</v>
      </c>
      <c r="G1003" t="b">
        <v>0</v>
      </c>
      <c r="K1003" s="188" t="str">
        <f>IFERROR(_xlfn.XLOOKUP(A1003,[1]Fleet!A:A,[1]Fleet!E:E,""),"")</f>
        <v/>
      </c>
      <c r="L1003" s="188" t="s">
        <v>76</v>
      </c>
      <c r="M1003" s="188" t="s">
        <v>76</v>
      </c>
      <c r="O1003">
        <v>1243</v>
      </c>
      <c r="P1003">
        <f>_xlfn.XLOOKUP(A1003,'[1]Classic Net to delete'!D:D,'[1]Classic Net to delete'!AA:AA,0)</f>
        <v>0</v>
      </c>
    </row>
    <row r="1004" spans="1:16" x14ac:dyDescent="0.25">
      <c r="A1004" t="s">
        <v>1961</v>
      </c>
      <c r="B1004" t="s">
        <v>1962</v>
      </c>
      <c r="C1004">
        <v>3.8000000000000003</v>
      </c>
      <c r="E1004" t="str">
        <f>CONCATENATE(J1004,". ",N1004)</f>
        <v xml:space="preserve">. </v>
      </c>
      <c r="F1004">
        <v>75</v>
      </c>
      <c r="G1004" t="b">
        <v>0</v>
      </c>
      <c r="K1004" s="188" t="str">
        <f>IFERROR(_xlfn.XLOOKUP(A1004,[1]Fleet!A:A,[1]Fleet!E:E,""),"")</f>
        <v/>
      </c>
      <c r="L1004" s="188" t="s">
        <v>76</v>
      </c>
      <c r="M1004" s="188" t="s">
        <v>76</v>
      </c>
      <c r="O1004">
        <v>1242</v>
      </c>
      <c r="P1004">
        <f>_xlfn.XLOOKUP(A1004,'[1]Classic Net to delete'!D:D,'[1]Classic Net to delete'!AA:AA,0)</f>
        <v>0</v>
      </c>
    </row>
    <row r="1005" spans="1:16" x14ac:dyDescent="0.25">
      <c r="A1005" t="s">
        <v>1963</v>
      </c>
      <c r="B1005" t="s">
        <v>1964</v>
      </c>
      <c r="C1005">
        <v>3.8000000000000003</v>
      </c>
      <c r="E1005" t="str">
        <f>CONCATENATE(J1005,". ",N1005)</f>
        <v xml:space="preserve">. </v>
      </c>
      <c r="F1005">
        <v>75</v>
      </c>
      <c r="G1005" t="b">
        <v>0</v>
      </c>
      <c r="K1005" s="188" t="str">
        <f>IFERROR(_xlfn.XLOOKUP(A1005,[1]Fleet!A:A,[1]Fleet!E:E,""),"")</f>
        <v/>
      </c>
      <c r="L1005" s="188" t="s">
        <v>76</v>
      </c>
      <c r="M1005" s="188" t="s">
        <v>76</v>
      </c>
      <c r="O1005">
        <v>1241</v>
      </c>
      <c r="P1005">
        <f>_xlfn.XLOOKUP(A1005,'[1]Classic Net to delete'!D:D,'[1]Classic Net to delete'!AA:AA,0)</f>
        <v>0</v>
      </c>
    </row>
    <row r="1006" spans="1:16" x14ac:dyDescent="0.25">
      <c r="A1006" t="s">
        <v>1965</v>
      </c>
      <c r="B1006" t="s">
        <v>1966</v>
      </c>
      <c r="C1006">
        <v>3.8000000000000003</v>
      </c>
      <c r="E1006" t="str">
        <f>CONCATENATE(J1006,". ",N1006)</f>
        <v xml:space="preserve">. </v>
      </c>
      <c r="F1006">
        <v>75</v>
      </c>
      <c r="G1006" t="b">
        <v>0</v>
      </c>
      <c r="K1006" s="188" t="str">
        <f>IFERROR(_xlfn.XLOOKUP(A1006,[1]Fleet!A:A,[1]Fleet!E:E,""),"")</f>
        <v/>
      </c>
      <c r="L1006" s="188" t="s">
        <v>76</v>
      </c>
      <c r="M1006" s="188" t="s">
        <v>76</v>
      </c>
      <c r="O1006">
        <v>1240</v>
      </c>
      <c r="P1006">
        <f>_xlfn.XLOOKUP(A1006,'[1]Classic Net to delete'!D:D,'[1]Classic Net to delete'!AA:AA,0)</f>
        <v>0</v>
      </c>
    </row>
    <row r="1007" spans="1:16" x14ac:dyDescent="0.25">
      <c r="A1007" t="s">
        <v>1967</v>
      </c>
      <c r="B1007" t="s">
        <v>1968</v>
      </c>
      <c r="C1007">
        <v>3.8000000000000003</v>
      </c>
      <c r="E1007" t="str">
        <f>CONCATENATE(J1007,". ",N1007)</f>
        <v xml:space="preserve">. </v>
      </c>
      <c r="F1007">
        <v>75</v>
      </c>
      <c r="G1007" t="b">
        <v>0</v>
      </c>
      <c r="K1007" s="188" t="str">
        <f>IFERROR(_xlfn.XLOOKUP(A1007,[1]Fleet!A:A,[1]Fleet!E:E,""),"")</f>
        <v/>
      </c>
      <c r="L1007" s="188" t="s">
        <v>76</v>
      </c>
      <c r="M1007" s="188" t="s">
        <v>76</v>
      </c>
      <c r="O1007">
        <v>1239</v>
      </c>
      <c r="P1007">
        <f>_xlfn.XLOOKUP(A1007,'[1]Classic Net to delete'!D:D,'[1]Classic Net to delete'!AA:AA,0)</f>
        <v>0</v>
      </c>
    </row>
    <row r="1008" spans="1:16" x14ac:dyDescent="0.25">
      <c r="A1008" t="s">
        <v>1969</v>
      </c>
      <c r="B1008" t="s">
        <v>1970</v>
      </c>
      <c r="C1008">
        <v>3.8000000000000003</v>
      </c>
      <c r="E1008" t="str">
        <f>CONCATENATE(J1008,". ",N1008)</f>
        <v xml:space="preserve">. </v>
      </c>
      <c r="F1008">
        <v>75</v>
      </c>
      <c r="G1008" t="b">
        <v>0</v>
      </c>
      <c r="K1008" s="188" t="str">
        <f>IFERROR(_xlfn.XLOOKUP(A1008,[1]Fleet!A:A,[1]Fleet!E:E,""),"")</f>
        <v/>
      </c>
      <c r="L1008" s="188" t="s">
        <v>76</v>
      </c>
      <c r="M1008" s="188" t="s">
        <v>76</v>
      </c>
      <c r="O1008">
        <v>1238</v>
      </c>
      <c r="P1008">
        <f>_xlfn.XLOOKUP(A1008,'[1]Classic Net to delete'!D:D,'[1]Classic Net to delete'!AA:AA,0)</f>
        <v>0</v>
      </c>
    </row>
    <row r="1009" spans="1:16" x14ac:dyDescent="0.25">
      <c r="A1009" t="s">
        <v>1971</v>
      </c>
      <c r="B1009" t="s">
        <v>1972</v>
      </c>
      <c r="C1009">
        <v>3.8000000000000003</v>
      </c>
      <c r="E1009" t="str">
        <f>CONCATENATE(J1009,". ",N1009)</f>
        <v xml:space="preserve">. </v>
      </c>
      <c r="F1009">
        <v>75</v>
      </c>
      <c r="G1009" t="b">
        <v>0</v>
      </c>
      <c r="K1009" s="188" t="str">
        <f>IFERROR(_xlfn.XLOOKUP(A1009,[1]Fleet!A:A,[1]Fleet!E:E,""),"")</f>
        <v/>
      </c>
      <c r="L1009" s="188" t="s">
        <v>76</v>
      </c>
      <c r="M1009" s="188" t="s">
        <v>76</v>
      </c>
      <c r="O1009">
        <v>1237</v>
      </c>
      <c r="P1009">
        <f>_xlfn.XLOOKUP(A1009,'[1]Classic Net to delete'!D:D,'[1]Classic Net to delete'!AA:AA,0)</f>
        <v>0</v>
      </c>
    </row>
    <row r="1010" spans="1:16" x14ac:dyDescent="0.25">
      <c r="A1010" t="s">
        <v>1973</v>
      </c>
      <c r="B1010" t="s">
        <v>1974</v>
      </c>
      <c r="C1010">
        <v>3.8000000000000003</v>
      </c>
      <c r="E1010" t="str">
        <f>CONCATENATE(J1010,". ",N1010)</f>
        <v xml:space="preserve">. </v>
      </c>
      <c r="F1010">
        <v>75</v>
      </c>
      <c r="G1010" t="b">
        <v>0</v>
      </c>
      <c r="K1010" s="188" t="str">
        <f>IFERROR(_xlfn.XLOOKUP(A1010,[1]Fleet!A:A,[1]Fleet!E:E,""),"")</f>
        <v/>
      </c>
      <c r="L1010" s="188" t="s">
        <v>76</v>
      </c>
      <c r="M1010" s="188" t="s">
        <v>76</v>
      </c>
      <c r="O1010">
        <v>1236</v>
      </c>
      <c r="P1010">
        <f>_xlfn.XLOOKUP(A1010,'[1]Classic Net to delete'!D:D,'[1]Classic Net to delete'!AA:AA,0)</f>
        <v>0</v>
      </c>
    </row>
    <row r="1011" spans="1:16" x14ac:dyDescent="0.25">
      <c r="A1011" t="s">
        <v>1975</v>
      </c>
      <c r="B1011" t="s">
        <v>1976</v>
      </c>
      <c r="C1011">
        <v>3.8000000000000003</v>
      </c>
      <c r="E1011" t="str">
        <f>CONCATENATE(J1011,". ",N1011)</f>
        <v xml:space="preserve">. </v>
      </c>
      <c r="F1011">
        <v>75</v>
      </c>
      <c r="G1011" t="b">
        <v>0</v>
      </c>
      <c r="K1011" s="188" t="str">
        <f>IFERROR(_xlfn.XLOOKUP(A1011,[1]Fleet!A:A,[1]Fleet!E:E,""),"")</f>
        <v/>
      </c>
      <c r="L1011" s="188" t="s">
        <v>76</v>
      </c>
      <c r="M1011" s="188" t="s">
        <v>76</v>
      </c>
      <c r="O1011">
        <v>1235</v>
      </c>
      <c r="P1011">
        <f>_xlfn.XLOOKUP(A1011,'[1]Classic Net to delete'!D:D,'[1]Classic Net to delete'!AA:AA,0)</f>
        <v>0</v>
      </c>
    </row>
    <row r="1012" spans="1:16" x14ac:dyDescent="0.25">
      <c r="A1012" t="s">
        <v>1977</v>
      </c>
      <c r="B1012" t="s">
        <v>1978</v>
      </c>
      <c r="C1012">
        <v>3.8000000000000003</v>
      </c>
      <c r="E1012" t="str">
        <f>CONCATENATE(J1012,". ",N1012)</f>
        <v xml:space="preserve">. </v>
      </c>
      <c r="F1012">
        <v>75</v>
      </c>
      <c r="G1012" t="b">
        <v>0</v>
      </c>
      <c r="K1012" s="188" t="str">
        <f>IFERROR(_xlfn.XLOOKUP(A1012,[1]Fleet!A:A,[1]Fleet!E:E,""),"")</f>
        <v/>
      </c>
      <c r="L1012" s="188" t="s">
        <v>76</v>
      </c>
      <c r="M1012" s="188" t="s">
        <v>76</v>
      </c>
      <c r="O1012">
        <v>1234</v>
      </c>
      <c r="P1012">
        <f>_xlfn.XLOOKUP(A1012,'[1]Classic Net to delete'!D:D,'[1]Classic Net to delete'!AA:AA,0)</f>
        <v>0</v>
      </c>
    </row>
    <row r="1013" spans="1:16" x14ac:dyDescent="0.25">
      <c r="A1013" t="s">
        <v>1979</v>
      </c>
      <c r="B1013" t="s">
        <v>1980</v>
      </c>
      <c r="C1013">
        <v>4.12</v>
      </c>
      <c r="E1013" t="str">
        <f>CONCATENATE(J1013,". ",N1013)</f>
        <v xml:space="preserve">. </v>
      </c>
      <c r="F1013">
        <v>75</v>
      </c>
      <c r="G1013" t="b">
        <v>0</v>
      </c>
      <c r="K1013" s="188" t="str">
        <f>IFERROR(_xlfn.XLOOKUP(A1013,[1]Fleet!A:A,[1]Fleet!E:E,""),"")</f>
        <v/>
      </c>
      <c r="L1013" s="188" t="s">
        <v>76</v>
      </c>
      <c r="M1013" s="188" t="s">
        <v>76</v>
      </c>
      <c r="O1013">
        <v>1233</v>
      </c>
      <c r="P1013">
        <f>_xlfn.XLOOKUP(A1013,'[1]Classic Net to delete'!D:D,'[1]Classic Net to delete'!AA:AA,0)</f>
        <v>0</v>
      </c>
    </row>
    <row r="1014" spans="1:16" x14ac:dyDescent="0.25">
      <c r="A1014" t="s">
        <v>1981</v>
      </c>
      <c r="B1014" t="s">
        <v>1982</v>
      </c>
      <c r="C1014">
        <v>5.08</v>
      </c>
      <c r="E1014" t="str">
        <f>CONCATENATE(J1014,". ",N1014)</f>
        <v xml:space="preserve">. </v>
      </c>
      <c r="F1014">
        <v>75</v>
      </c>
      <c r="G1014" t="b">
        <v>0</v>
      </c>
      <c r="K1014" s="188" t="str">
        <f>IFERROR(_xlfn.XLOOKUP(A1014,[1]Fleet!A:A,[1]Fleet!E:E,""),"")</f>
        <v/>
      </c>
      <c r="L1014" s="188" t="s">
        <v>76</v>
      </c>
      <c r="M1014" s="188" t="s">
        <v>76</v>
      </c>
      <c r="O1014">
        <v>1232</v>
      </c>
      <c r="P1014">
        <f>_xlfn.XLOOKUP(A1014,'[1]Classic Net to delete'!D:D,'[1]Classic Net to delete'!AA:AA,0)</f>
        <v>0</v>
      </c>
    </row>
    <row r="1015" spans="1:16" x14ac:dyDescent="0.25">
      <c r="A1015" t="s">
        <v>1983</v>
      </c>
      <c r="B1015" t="s">
        <v>1984</v>
      </c>
      <c r="C1015">
        <v>5.08</v>
      </c>
      <c r="E1015" t="str">
        <f>CONCATENATE(J1015,". ",N1015)</f>
        <v xml:space="preserve">. </v>
      </c>
      <c r="F1015">
        <v>75</v>
      </c>
      <c r="G1015" t="b">
        <v>0</v>
      </c>
      <c r="K1015" s="188" t="str">
        <f>IFERROR(_xlfn.XLOOKUP(A1015,[1]Fleet!A:A,[1]Fleet!E:E,""),"")</f>
        <v/>
      </c>
      <c r="L1015" s="188" t="s">
        <v>76</v>
      </c>
      <c r="M1015" s="188" t="s">
        <v>76</v>
      </c>
      <c r="O1015">
        <v>1231</v>
      </c>
      <c r="P1015">
        <f>_xlfn.XLOOKUP(A1015,'[1]Classic Net to delete'!D:D,'[1]Classic Net to delete'!AA:AA,0)</f>
        <v>0</v>
      </c>
    </row>
    <row r="1016" spans="1:16" x14ac:dyDescent="0.25">
      <c r="A1016" t="s">
        <v>1985</v>
      </c>
      <c r="B1016" t="s">
        <v>1986</v>
      </c>
      <c r="C1016">
        <v>2.25</v>
      </c>
      <c r="E1016" t="str">
        <f>CONCATENATE(J1016,". ",N1016)</f>
        <v xml:space="preserve">. </v>
      </c>
      <c r="F1016">
        <v>75</v>
      </c>
      <c r="G1016" t="b">
        <v>0</v>
      </c>
      <c r="K1016" s="188" t="str">
        <f>IFERROR(_xlfn.XLOOKUP(A1016,[1]Fleet!A:A,[1]Fleet!E:E,""),"")</f>
        <v/>
      </c>
      <c r="L1016" s="188" t="s">
        <v>76</v>
      </c>
      <c r="M1016" s="188" t="s">
        <v>76</v>
      </c>
      <c r="O1016">
        <v>1230</v>
      </c>
      <c r="P1016">
        <f>_xlfn.XLOOKUP(A1016,'[1]Classic Net to delete'!D:D,'[1]Classic Net to delete'!AA:AA,0)</f>
        <v>0</v>
      </c>
    </row>
    <row r="1017" spans="1:16" x14ac:dyDescent="0.25">
      <c r="A1017" t="s">
        <v>1987</v>
      </c>
      <c r="B1017" t="s">
        <v>1988</v>
      </c>
      <c r="C1017">
        <v>2.25</v>
      </c>
      <c r="E1017" t="str">
        <f>CONCATENATE(J1017,". ",N1017)</f>
        <v xml:space="preserve">. </v>
      </c>
      <c r="F1017">
        <v>75</v>
      </c>
      <c r="G1017" t="b">
        <v>0</v>
      </c>
      <c r="K1017" s="188" t="str">
        <f>IFERROR(_xlfn.XLOOKUP(A1017,[1]Fleet!A:A,[1]Fleet!E:E,""),"")</f>
        <v/>
      </c>
      <c r="L1017" s="188" t="s">
        <v>76</v>
      </c>
      <c r="M1017" s="188" t="s">
        <v>76</v>
      </c>
      <c r="O1017">
        <v>1229</v>
      </c>
      <c r="P1017">
        <f>_xlfn.XLOOKUP(A1017,'[1]Classic Net to delete'!D:D,'[1]Classic Net to delete'!AA:AA,0)</f>
        <v>0</v>
      </c>
    </row>
    <row r="1018" spans="1:16" x14ac:dyDescent="0.25">
      <c r="A1018" t="s">
        <v>1989</v>
      </c>
      <c r="B1018" t="s">
        <v>1990</v>
      </c>
      <c r="C1018">
        <v>2.25</v>
      </c>
      <c r="E1018" t="str">
        <f>CONCATENATE(J1018,". ",N1018)</f>
        <v xml:space="preserve">. </v>
      </c>
      <c r="F1018">
        <v>75</v>
      </c>
      <c r="G1018" t="b">
        <v>0</v>
      </c>
      <c r="K1018" s="188" t="str">
        <f>IFERROR(_xlfn.XLOOKUP(A1018,[1]Fleet!A:A,[1]Fleet!E:E,""),"")</f>
        <v/>
      </c>
      <c r="L1018" s="188" t="s">
        <v>76</v>
      </c>
      <c r="M1018" s="188" t="s">
        <v>76</v>
      </c>
      <c r="O1018">
        <v>1228</v>
      </c>
      <c r="P1018">
        <f>_xlfn.XLOOKUP(A1018,'[1]Classic Net to delete'!D:D,'[1]Classic Net to delete'!AA:AA,0)</f>
        <v>0</v>
      </c>
    </row>
    <row r="1019" spans="1:16" x14ac:dyDescent="0.25">
      <c r="A1019" t="s">
        <v>1991</v>
      </c>
      <c r="B1019" t="s">
        <v>1992</v>
      </c>
      <c r="C1019">
        <v>5.08</v>
      </c>
      <c r="E1019" t="str">
        <f>CONCATENATE(J1019,". ",N1019)</f>
        <v xml:space="preserve">. </v>
      </c>
      <c r="F1019">
        <v>75</v>
      </c>
      <c r="G1019" t="b">
        <v>0</v>
      </c>
      <c r="K1019" s="188" t="str">
        <f>IFERROR(_xlfn.XLOOKUP(A1019,[1]Fleet!A:A,[1]Fleet!E:E,""),"")</f>
        <v/>
      </c>
      <c r="L1019" s="188" t="s">
        <v>76</v>
      </c>
      <c r="M1019" s="188" t="s">
        <v>76</v>
      </c>
      <c r="O1019">
        <v>1227</v>
      </c>
      <c r="P1019">
        <f>_xlfn.XLOOKUP(A1019,'[1]Classic Net to delete'!D:D,'[1]Classic Net to delete'!AA:AA,0)</f>
        <v>0</v>
      </c>
    </row>
    <row r="1020" spans="1:16" x14ac:dyDescent="0.25">
      <c r="A1020" t="s">
        <v>1993</v>
      </c>
      <c r="B1020" t="s">
        <v>1994</v>
      </c>
      <c r="C1020">
        <v>9.15</v>
      </c>
      <c r="E1020" t="str">
        <f>CONCATENATE(J1020,". ",N1020)</f>
        <v xml:space="preserve">. </v>
      </c>
      <c r="F1020">
        <v>75</v>
      </c>
      <c r="G1020" t="b">
        <v>0</v>
      </c>
      <c r="K1020" s="188" t="str">
        <f>IFERROR(_xlfn.XLOOKUP(A1020,[1]Fleet!A:A,[1]Fleet!E:E,""),"")</f>
        <v/>
      </c>
      <c r="L1020" s="188" t="s">
        <v>76</v>
      </c>
      <c r="M1020" s="188" t="s">
        <v>76</v>
      </c>
      <c r="O1020">
        <v>1226</v>
      </c>
      <c r="P1020">
        <f>_xlfn.XLOOKUP(A1020,'[1]Classic Net to delete'!D:D,'[1]Classic Net to delete'!AA:AA,0)</f>
        <v>0</v>
      </c>
    </row>
    <row r="1021" spans="1:16" x14ac:dyDescent="0.25">
      <c r="A1021" t="s">
        <v>1995</v>
      </c>
      <c r="B1021" t="s">
        <v>1996</v>
      </c>
      <c r="C1021">
        <v>2.25</v>
      </c>
      <c r="E1021" t="str">
        <f>CONCATENATE(J1021,". ",N1021)</f>
        <v xml:space="preserve">. </v>
      </c>
      <c r="F1021">
        <v>75</v>
      </c>
      <c r="G1021" t="b">
        <v>0</v>
      </c>
      <c r="K1021" s="188" t="str">
        <f>IFERROR(_xlfn.XLOOKUP(A1021,[1]Fleet!A:A,[1]Fleet!E:E,""),"")</f>
        <v/>
      </c>
      <c r="L1021" s="188" t="s">
        <v>76</v>
      </c>
      <c r="M1021" s="188" t="s">
        <v>76</v>
      </c>
      <c r="O1021">
        <v>1225</v>
      </c>
      <c r="P1021">
        <f>_xlfn.XLOOKUP(A1021,'[1]Classic Net to delete'!D:D,'[1]Classic Net to delete'!AA:AA,0)</f>
        <v>0</v>
      </c>
    </row>
    <row r="1022" spans="1:16" x14ac:dyDescent="0.25">
      <c r="A1022" t="s">
        <v>1997</v>
      </c>
      <c r="B1022" t="s">
        <v>1998</v>
      </c>
      <c r="C1022">
        <v>2.25</v>
      </c>
      <c r="E1022" t="str">
        <f>CONCATENATE(J1022,". ",N1022)</f>
        <v xml:space="preserve">. </v>
      </c>
      <c r="F1022">
        <v>75</v>
      </c>
      <c r="G1022" t="b">
        <v>0</v>
      </c>
      <c r="K1022" s="188" t="str">
        <f>IFERROR(_xlfn.XLOOKUP(A1022,[1]Fleet!A:A,[1]Fleet!E:E,""),"")</f>
        <v/>
      </c>
      <c r="L1022" s="188" t="s">
        <v>76</v>
      </c>
      <c r="M1022" s="188" t="s">
        <v>76</v>
      </c>
      <c r="O1022">
        <v>1224</v>
      </c>
      <c r="P1022">
        <f>_xlfn.XLOOKUP(A1022,'[1]Classic Net to delete'!D:D,'[1]Classic Net to delete'!AA:AA,0)</f>
        <v>0</v>
      </c>
    </row>
    <row r="1023" spans="1:16" x14ac:dyDescent="0.25">
      <c r="A1023" t="s">
        <v>1999</v>
      </c>
      <c r="B1023" t="s">
        <v>2000</v>
      </c>
      <c r="C1023">
        <v>2.25</v>
      </c>
      <c r="E1023" t="str">
        <f>CONCATENATE(J1023,". ",N1023)</f>
        <v xml:space="preserve">. </v>
      </c>
      <c r="F1023">
        <v>75</v>
      </c>
      <c r="G1023" t="b">
        <v>0</v>
      </c>
      <c r="K1023" s="188" t="str">
        <f>IFERROR(_xlfn.XLOOKUP(A1023,[1]Fleet!A:A,[1]Fleet!E:E,""),"")</f>
        <v/>
      </c>
      <c r="L1023" s="188" t="s">
        <v>76</v>
      </c>
      <c r="M1023" s="188" t="s">
        <v>76</v>
      </c>
      <c r="O1023">
        <v>1223</v>
      </c>
      <c r="P1023">
        <f>_xlfn.XLOOKUP(A1023,'[1]Classic Net to delete'!D:D,'[1]Classic Net to delete'!AA:AA,0)</f>
        <v>0</v>
      </c>
    </row>
    <row r="1024" spans="1:16" x14ac:dyDescent="0.25">
      <c r="A1024" t="s">
        <v>2001</v>
      </c>
      <c r="B1024" t="s">
        <v>2002</v>
      </c>
      <c r="C1024">
        <v>5.08</v>
      </c>
      <c r="E1024" t="str">
        <f>CONCATENATE(J1024,". ",N1024)</f>
        <v xml:space="preserve">. </v>
      </c>
      <c r="F1024">
        <v>75</v>
      </c>
      <c r="G1024" t="b">
        <v>0</v>
      </c>
      <c r="K1024" s="188" t="str">
        <f>IFERROR(_xlfn.XLOOKUP(A1024,[1]Fleet!A:A,[1]Fleet!E:E,""),"")</f>
        <v/>
      </c>
      <c r="L1024" s="188" t="s">
        <v>76</v>
      </c>
      <c r="M1024" s="188" t="s">
        <v>76</v>
      </c>
      <c r="O1024">
        <v>1222</v>
      </c>
      <c r="P1024">
        <f>_xlfn.XLOOKUP(A1024,'[1]Classic Net to delete'!D:D,'[1]Classic Net to delete'!AA:AA,0)</f>
        <v>0</v>
      </c>
    </row>
    <row r="1025" spans="1:16" x14ac:dyDescent="0.25">
      <c r="A1025" t="s">
        <v>2003</v>
      </c>
      <c r="B1025" t="s">
        <v>2004</v>
      </c>
      <c r="C1025">
        <v>5.08</v>
      </c>
      <c r="E1025" t="str">
        <f>CONCATENATE(J1025,". ",N1025)</f>
        <v xml:space="preserve">. </v>
      </c>
      <c r="F1025">
        <v>75</v>
      </c>
      <c r="G1025" t="b">
        <v>0</v>
      </c>
      <c r="K1025" s="188" t="str">
        <f>IFERROR(_xlfn.XLOOKUP(A1025,[1]Fleet!A:A,[1]Fleet!E:E,""),"")</f>
        <v/>
      </c>
      <c r="L1025" s="188" t="s">
        <v>76</v>
      </c>
      <c r="M1025" s="188" t="s">
        <v>76</v>
      </c>
      <c r="O1025">
        <v>1221</v>
      </c>
      <c r="P1025">
        <f>_xlfn.XLOOKUP(A1025,'[1]Classic Net to delete'!D:D,'[1]Classic Net to delete'!AA:AA,0)</f>
        <v>0</v>
      </c>
    </row>
    <row r="1026" spans="1:16" x14ac:dyDescent="0.25">
      <c r="A1026" t="s">
        <v>2005</v>
      </c>
      <c r="B1026" t="s">
        <v>2006</v>
      </c>
      <c r="C1026">
        <v>9.7900000000000009</v>
      </c>
      <c r="E1026" t="str">
        <f>CONCATENATE(J1026,". ",N1026)</f>
        <v xml:space="preserve">. </v>
      </c>
      <c r="F1026">
        <v>75</v>
      </c>
      <c r="G1026" t="b">
        <v>0</v>
      </c>
      <c r="K1026" s="188" t="str">
        <f>IFERROR(_xlfn.XLOOKUP(A1026,[1]Fleet!A:A,[1]Fleet!E:E,""),"")</f>
        <v/>
      </c>
      <c r="L1026" s="188" t="s">
        <v>76</v>
      </c>
      <c r="M1026" s="188" t="s">
        <v>76</v>
      </c>
      <c r="O1026">
        <v>1220</v>
      </c>
      <c r="P1026">
        <f>_xlfn.XLOOKUP(A1026,'[1]Classic Net to delete'!D:D,'[1]Classic Net to delete'!AA:AA,0)</f>
        <v>0</v>
      </c>
    </row>
    <row r="1027" spans="1:16" x14ac:dyDescent="0.25">
      <c r="A1027" t="s">
        <v>2007</v>
      </c>
      <c r="B1027" t="s">
        <v>2008</v>
      </c>
      <c r="C1027">
        <v>2.25</v>
      </c>
      <c r="E1027" t="str">
        <f>CONCATENATE(J1027,". ",N1027)</f>
        <v xml:space="preserve">. </v>
      </c>
      <c r="F1027">
        <v>75</v>
      </c>
      <c r="G1027" t="b">
        <v>0</v>
      </c>
      <c r="K1027" s="188" t="str">
        <f>IFERROR(_xlfn.XLOOKUP(A1027,[1]Fleet!A:A,[1]Fleet!E:E,""),"")</f>
        <v/>
      </c>
      <c r="L1027" s="188" t="s">
        <v>76</v>
      </c>
      <c r="M1027" s="188" t="s">
        <v>76</v>
      </c>
      <c r="O1027">
        <v>1219</v>
      </c>
      <c r="P1027">
        <f>_xlfn.XLOOKUP(A1027,'[1]Classic Net to delete'!D:D,'[1]Classic Net to delete'!AA:AA,0)</f>
        <v>0</v>
      </c>
    </row>
    <row r="1028" spans="1:16" x14ac:dyDescent="0.25">
      <c r="A1028" t="s">
        <v>2009</v>
      </c>
      <c r="B1028" t="s">
        <v>2010</v>
      </c>
      <c r="C1028">
        <v>5.08</v>
      </c>
      <c r="E1028" t="str">
        <f>CONCATENATE(J1028,". ",N1028)</f>
        <v xml:space="preserve">. </v>
      </c>
      <c r="F1028">
        <v>75</v>
      </c>
      <c r="G1028" t="b">
        <v>0</v>
      </c>
      <c r="K1028" s="188" t="str">
        <f>IFERROR(_xlfn.XLOOKUP(A1028,[1]Fleet!A:A,[1]Fleet!E:E,""),"")</f>
        <v/>
      </c>
      <c r="L1028" s="188" t="s">
        <v>76</v>
      </c>
      <c r="M1028" s="188" t="s">
        <v>76</v>
      </c>
      <c r="O1028">
        <v>1218</v>
      </c>
      <c r="P1028">
        <f>_xlfn.XLOOKUP(A1028,'[1]Classic Net to delete'!D:D,'[1]Classic Net to delete'!AA:AA,0)</f>
        <v>0</v>
      </c>
    </row>
    <row r="1029" spans="1:16" x14ac:dyDescent="0.25">
      <c r="A1029" t="s">
        <v>2011</v>
      </c>
      <c r="B1029" t="s">
        <v>2012</v>
      </c>
      <c r="C1029">
        <v>5.08</v>
      </c>
      <c r="E1029" t="str">
        <f>CONCATENATE(J1029,". ",N1029)</f>
        <v xml:space="preserve">. </v>
      </c>
      <c r="F1029">
        <v>75</v>
      </c>
      <c r="G1029" t="b">
        <v>0</v>
      </c>
      <c r="K1029" s="188" t="str">
        <f>IFERROR(_xlfn.XLOOKUP(A1029,[1]Fleet!A:A,[1]Fleet!E:E,""),"")</f>
        <v/>
      </c>
      <c r="L1029" s="188" t="s">
        <v>76</v>
      </c>
      <c r="M1029" s="188" t="s">
        <v>76</v>
      </c>
      <c r="O1029">
        <v>1217</v>
      </c>
      <c r="P1029">
        <f>_xlfn.XLOOKUP(A1029,'[1]Classic Net to delete'!D:D,'[1]Classic Net to delete'!AA:AA,0)</f>
        <v>0</v>
      </c>
    </row>
    <row r="1030" spans="1:16" x14ac:dyDescent="0.25">
      <c r="A1030" t="s">
        <v>2013</v>
      </c>
      <c r="B1030" t="s">
        <v>2014</v>
      </c>
      <c r="C1030">
        <v>5.08</v>
      </c>
      <c r="E1030" t="str">
        <f>CONCATENATE(J1030,". ",N1030)</f>
        <v xml:space="preserve">. </v>
      </c>
      <c r="F1030">
        <v>75</v>
      </c>
      <c r="G1030" t="b">
        <v>0</v>
      </c>
      <c r="K1030" s="188" t="str">
        <f>IFERROR(_xlfn.XLOOKUP(A1030,[1]Fleet!A:A,[1]Fleet!E:E,""),"")</f>
        <v/>
      </c>
      <c r="L1030" s="188" t="s">
        <v>76</v>
      </c>
      <c r="M1030" s="188" t="s">
        <v>76</v>
      </c>
      <c r="O1030">
        <v>1216</v>
      </c>
      <c r="P1030">
        <f>_xlfn.XLOOKUP(A1030,'[1]Classic Net to delete'!D:D,'[1]Classic Net to delete'!AA:AA,0)</f>
        <v>0</v>
      </c>
    </row>
    <row r="1031" spans="1:16" x14ac:dyDescent="0.25">
      <c r="A1031" t="s">
        <v>2015</v>
      </c>
      <c r="B1031" t="s">
        <v>2016</v>
      </c>
      <c r="C1031">
        <v>10.75</v>
      </c>
      <c r="E1031" t="str">
        <f>CONCATENATE(J1031,". ",N1031)</f>
        <v xml:space="preserve">. </v>
      </c>
      <c r="F1031">
        <v>75</v>
      </c>
      <c r="G1031" t="b">
        <v>0</v>
      </c>
      <c r="K1031" s="188" t="str">
        <f>IFERROR(_xlfn.XLOOKUP(A1031,[1]Fleet!A:A,[1]Fleet!E:E,""),"")</f>
        <v/>
      </c>
      <c r="L1031" s="188" t="s">
        <v>76</v>
      </c>
      <c r="M1031" s="188" t="s">
        <v>76</v>
      </c>
      <c r="O1031">
        <v>1215</v>
      </c>
      <c r="P1031">
        <f>_xlfn.XLOOKUP(A1031,'[1]Classic Net to delete'!D:D,'[1]Classic Net to delete'!AA:AA,0)</f>
        <v>0</v>
      </c>
    </row>
    <row r="1032" spans="1:16" x14ac:dyDescent="0.25">
      <c r="A1032" t="s">
        <v>2017</v>
      </c>
      <c r="B1032" t="s">
        <v>2018</v>
      </c>
      <c r="C1032">
        <v>5.08</v>
      </c>
      <c r="E1032" t="str">
        <f>CONCATENATE(J1032,". ",N1032)</f>
        <v xml:space="preserve">. </v>
      </c>
      <c r="F1032">
        <v>75</v>
      </c>
      <c r="G1032" t="b">
        <v>0</v>
      </c>
      <c r="K1032" s="188" t="str">
        <f>IFERROR(_xlfn.XLOOKUP(A1032,[1]Fleet!A:A,[1]Fleet!E:E,""),"")</f>
        <v/>
      </c>
      <c r="L1032" s="188" t="s">
        <v>76</v>
      </c>
      <c r="M1032" s="188" t="s">
        <v>76</v>
      </c>
      <c r="O1032">
        <v>1214</v>
      </c>
      <c r="P1032">
        <f>_xlfn.XLOOKUP(A1032,'[1]Classic Net to delete'!D:D,'[1]Classic Net to delete'!AA:AA,0)</f>
        <v>0</v>
      </c>
    </row>
    <row r="1033" spans="1:16" x14ac:dyDescent="0.25">
      <c r="A1033" t="s">
        <v>2019</v>
      </c>
      <c r="B1033" t="s">
        <v>2020</v>
      </c>
      <c r="C1033">
        <v>3.8000000000000003</v>
      </c>
      <c r="E1033" t="str">
        <f>CONCATENATE(J1033,". ",N1033)</f>
        <v xml:space="preserve">. </v>
      </c>
      <c r="F1033">
        <v>75</v>
      </c>
      <c r="G1033" t="b">
        <v>0</v>
      </c>
      <c r="K1033" s="188" t="str">
        <f>IFERROR(_xlfn.XLOOKUP(A1033,[1]Fleet!A:A,[1]Fleet!E:E,""),"")</f>
        <v/>
      </c>
      <c r="L1033" s="188" t="s">
        <v>76</v>
      </c>
      <c r="M1033" s="188" t="s">
        <v>76</v>
      </c>
      <c r="O1033">
        <v>1213</v>
      </c>
      <c r="P1033">
        <f>_xlfn.XLOOKUP(A1033,'[1]Classic Net to delete'!D:D,'[1]Classic Net to delete'!AA:AA,0)</f>
        <v>0</v>
      </c>
    </row>
    <row r="1034" spans="1:16" x14ac:dyDescent="0.25">
      <c r="A1034" t="s">
        <v>2021</v>
      </c>
      <c r="B1034" t="s">
        <v>2022</v>
      </c>
      <c r="C1034">
        <v>3.8000000000000003</v>
      </c>
      <c r="E1034" t="str">
        <f>CONCATENATE(J1034,". ",N1034)</f>
        <v xml:space="preserve">. </v>
      </c>
      <c r="F1034">
        <v>75</v>
      </c>
      <c r="G1034" t="b">
        <v>0</v>
      </c>
      <c r="K1034" s="188" t="str">
        <f>IFERROR(_xlfn.XLOOKUP(A1034,[1]Fleet!A:A,[1]Fleet!E:E,""),"")</f>
        <v/>
      </c>
      <c r="L1034" s="188" t="s">
        <v>76</v>
      </c>
      <c r="M1034" s="188" t="s">
        <v>76</v>
      </c>
      <c r="O1034">
        <v>1212</v>
      </c>
      <c r="P1034">
        <f>_xlfn.XLOOKUP(A1034,'[1]Classic Net to delete'!D:D,'[1]Classic Net to delete'!AA:AA,0)</f>
        <v>0</v>
      </c>
    </row>
    <row r="1035" spans="1:16" x14ac:dyDescent="0.25">
      <c r="A1035" t="s">
        <v>2023</v>
      </c>
      <c r="B1035" t="s">
        <v>2024</v>
      </c>
      <c r="C1035">
        <v>3.8000000000000003</v>
      </c>
      <c r="E1035" t="str">
        <f>CONCATENATE(J1035,". ",N1035)</f>
        <v xml:space="preserve">. </v>
      </c>
      <c r="F1035">
        <v>75</v>
      </c>
      <c r="G1035" t="b">
        <v>0</v>
      </c>
      <c r="K1035" s="188" t="str">
        <f>IFERROR(_xlfn.XLOOKUP(A1035,[1]Fleet!A:A,[1]Fleet!E:E,""),"")</f>
        <v/>
      </c>
      <c r="L1035" s="188" t="s">
        <v>76</v>
      </c>
      <c r="M1035" s="188" t="s">
        <v>76</v>
      </c>
      <c r="O1035">
        <v>1211</v>
      </c>
      <c r="P1035">
        <f>_xlfn.XLOOKUP(A1035,'[1]Classic Net to delete'!D:D,'[1]Classic Net to delete'!AA:AA,0)</f>
        <v>0</v>
      </c>
    </row>
    <row r="1036" spans="1:16" x14ac:dyDescent="0.25">
      <c r="A1036" t="s">
        <v>2025</v>
      </c>
      <c r="B1036" t="s">
        <v>2026</v>
      </c>
      <c r="C1036">
        <v>3.8000000000000003</v>
      </c>
      <c r="E1036" t="str">
        <f>CONCATENATE(J1036,". ",N1036)</f>
        <v xml:space="preserve">. </v>
      </c>
      <c r="F1036">
        <v>75</v>
      </c>
      <c r="G1036" t="b">
        <v>0</v>
      </c>
      <c r="K1036" s="188" t="str">
        <f>IFERROR(_xlfn.XLOOKUP(A1036,[1]Fleet!A:A,[1]Fleet!E:E,""),"")</f>
        <v/>
      </c>
      <c r="L1036" s="188" t="s">
        <v>76</v>
      </c>
      <c r="M1036" s="188" t="s">
        <v>76</v>
      </c>
      <c r="O1036">
        <v>1210</v>
      </c>
      <c r="P1036">
        <f>_xlfn.XLOOKUP(A1036,'[1]Classic Net to delete'!D:D,'[1]Classic Net to delete'!AA:AA,0)</f>
        <v>0</v>
      </c>
    </row>
    <row r="1037" spans="1:16" x14ac:dyDescent="0.25">
      <c r="A1037" t="s">
        <v>2027</v>
      </c>
      <c r="B1037" t="s">
        <v>2028</v>
      </c>
      <c r="C1037">
        <v>3.8000000000000003</v>
      </c>
      <c r="E1037" t="str">
        <f>CONCATENATE(J1037,". ",N1037)</f>
        <v xml:space="preserve">. </v>
      </c>
      <c r="F1037">
        <v>75</v>
      </c>
      <c r="G1037" t="b">
        <v>0</v>
      </c>
      <c r="K1037" s="188" t="str">
        <f>IFERROR(_xlfn.XLOOKUP(A1037,[1]Fleet!A:A,[1]Fleet!E:E,""),"")</f>
        <v/>
      </c>
      <c r="L1037" s="188" t="s">
        <v>76</v>
      </c>
      <c r="M1037" s="188" t="s">
        <v>76</v>
      </c>
      <c r="O1037">
        <v>1209</v>
      </c>
      <c r="P1037">
        <f>_xlfn.XLOOKUP(A1037,'[1]Classic Net to delete'!D:D,'[1]Classic Net to delete'!AA:AA,0)</f>
        <v>0</v>
      </c>
    </row>
    <row r="1038" spans="1:16" x14ac:dyDescent="0.25">
      <c r="A1038" t="s">
        <v>2029</v>
      </c>
      <c r="B1038" t="s">
        <v>2030</v>
      </c>
      <c r="C1038">
        <v>3.8000000000000003</v>
      </c>
      <c r="E1038" t="str">
        <f>CONCATENATE(J1038,". ",N1038)</f>
        <v xml:space="preserve">. </v>
      </c>
      <c r="F1038">
        <v>75</v>
      </c>
      <c r="G1038" t="b">
        <v>0</v>
      </c>
      <c r="K1038" s="188" t="str">
        <f>IFERROR(_xlfn.XLOOKUP(A1038,[1]Fleet!A:A,[1]Fleet!E:E,""),"")</f>
        <v/>
      </c>
      <c r="L1038" s="188" t="s">
        <v>76</v>
      </c>
      <c r="M1038" s="188" t="s">
        <v>76</v>
      </c>
      <c r="O1038">
        <v>1208</v>
      </c>
      <c r="P1038">
        <f>_xlfn.XLOOKUP(A1038,'[1]Classic Net to delete'!D:D,'[1]Classic Net to delete'!AA:AA,0)</f>
        <v>0</v>
      </c>
    </row>
    <row r="1039" spans="1:16" x14ac:dyDescent="0.25">
      <c r="A1039" t="s">
        <v>2031</v>
      </c>
      <c r="B1039" t="s">
        <v>2032</v>
      </c>
      <c r="C1039">
        <v>3.8000000000000003</v>
      </c>
      <c r="E1039" t="str">
        <f>CONCATENATE(J1039,". ",N1039)</f>
        <v xml:space="preserve">. </v>
      </c>
      <c r="F1039">
        <v>75</v>
      </c>
      <c r="G1039" t="b">
        <v>0</v>
      </c>
      <c r="K1039" s="188" t="str">
        <f>IFERROR(_xlfn.XLOOKUP(A1039,[1]Fleet!A:A,[1]Fleet!E:E,""),"")</f>
        <v/>
      </c>
      <c r="L1039" s="188" t="s">
        <v>76</v>
      </c>
      <c r="M1039" s="188" t="s">
        <v>76</v>
      </c>
      <c r="O1039">
        <v>1207</v>
      </c>
      <c r="P1039">
        <f>_xlfn.XLOOKUP(A1039,'[1]Classic Net to delete'!D:D,'[1]Classic Net to delete'!AA:AA,0)</f>
        <v>0</v>
      </c>
    </row>
    <row r="1040" spans="1:16" x14ac:dyDescent="0.25">
      <c r="A1040" t="s">
        <v>2033</v>
      </c>
      <c r="B1040" t="s">
        <v>2034</v>
      </c>
      <c r="C1040">
        <v>3.8000000000000003</v>
      </c>
      <c r="E1040" t="str">
        <f>CONCATENATE(J1040,". ",N1040)</f>
        <v xml:space="preserve">. </v>
      </c>
      <c r="F1040">
        <v>75</v>
      </c>
      <c r="G1040" t="b">
        <v>0</v>
      </c>
      <c r="K1040" s="188" t="str">
        <f>IFERROR(_xlfn.XLOOKUP(A1040,[1]Fleet!A:A,[1]Fleet!E:E,""),"")</f>
        <v/>
      </c>
      <c r="L1040" s="188" t="s">
        <v>76</v>
      </c>
      <c r="M1040" s="188" t="s">
        <v>76</v>
      </c>
      <c r="O1040">
        <v>1206</v>
      </c>
      <c r="P1040">
        <f>_xlfn.XLOOKUP(A1040,'[1]Classic Net to delete'!D:D,'[1]Classic Net to delete'!AA:AA,0)</f>
        <v>0</v>
      </c>
    </row>
    <row r="1041" spans="1:16" x14ac:dyDescent="0.25">
      <c r="A1041" t="s">
        <v>2035</v>
      </c>
      <c r="B1041" t="s">
        <v>2036</v>
      </c>
      <c r="C1041">
        <v>3.8000000000000003</v>
      </c>
      <c r="E1041" t="str">
        <f>CONCATENATE(J1041,". ",N1041)</f>
        <v xml:space="preserve">. </v>
      </c>
      <c r="F1041">
        <v>75</v>
      </c>
      <c r="G1041" t="b">
        <v>0</v>
      </c>
      <c r="K1041" s="188" t="str">
        <f>IFERROR(_xlfn.XLOOKUP(A1041,[1]Fleet!A:A,[1]Fleet!E:E,""),"")</f>
        <v/>
      </c>
      <c r="L1041" s="188" t="s">
        <v>76</v>
      </c>
      <c r="M1041" s="188" t="s">
        <v>76</v>
      </c>
      <c r="O1041">
        <v>1205</v>
      </c>
      <c r="P1041">
        <f>_xlfn.XLOOKUP(A1041,'[1]Classic Net to delete'!D:D,'[1]Classic Net to delete'!AA:AA,0)</f>
        <v>0</v>
      </c>
    </row>
    <row r="1042" spans="1:16" x14ac:dyDescent="0.25">
      <c r="A1042" t="s">
        <v>2037</v>
      </c>
      <c r="B1042" t="s">
        <v>2038</v>
      </c>
      <c r="C1042">
        <v>3.8000000000000003</v>
      </c>
      <c r="E1042" t="str">
        <f>CONCATENATE(J1042,". ",N1042)</f>
        <v xml:space="preserve">. </v>
      </c>
      <c r="F1042">
        <v>75</v>
      </c>
      <c r="G1042" t="b">
        <v>0</v>
      </c>
      <c r="K1042" s="188" t="str">
        <f>IFERROR(_xlfn.XLOOKUP(A1042,[1]Fleet!A:A,[1]Fleet!E:E,""),"")</f>
        <v/>
      </c>
      <c r="L1042" s="188" t="s">
        <v>76</v>
      </c>
      <c r="M1042" s="188" t="s">
        <v>76</v>
      </c>
      <c r="O1042">
        <v>1204</v>
      </c>
      <c r="P1042">
        <f>_xlfn.XLOOKUP(A1042,'[1]Classic Net to delete'!D:D,'[1]Classic Net to delete'!AA:AA,0)</f>
        <v>0</v>
      </c>
    </row>
    <row r="1043" spans="1:16" x14ac:dyDescent="0.25">
      <c r="A1043" t="s">
        <v>2039</v>
      </c>
      <c r="B1043" t="s">
        <v>2040</v>
      </c>
      <c r="C1043">
        <v>3.8000000000000003</v>
      </c>
      <c r="E1043" t="str">
        <f>CONCATENATE(J1043,". ",N1043)</f>
        <v xml:space="preserve">. </v>
      </c>
      <c r="F1043">
        <v>75</v>
      </c>
      <c r="G1043" t="b">
        <v>0</v>
      </c>
      <c r="K1043" s="188" t="str">
        <f>IFERROR(_xlfn.XLOOKUP(A1043,[1]Fleet!A:A,[1]Fleet!E:E,""),"")</f>
        <v/>
      </c>
      <c r="L1043" s="188" t="s">
        <v>76</v>
      </c>
      <c r="M1043" s="188" t="s">
        <v>76</v>
      </c>
      <c r="O1043">
        <v>1203</v>
      </c>
      <c r="P1043">
        <f>_xlfn.XLOOKUP(A1043,'[1]Classic Net to delete'!D:D,'[1]Classic Net to delete'!AA:AA,0)</f>
        <v>0</v>
      </c>
    </row>
    <row r="1044" spans="1:16" x14ac:dyDescent="0.25">
      <c r="A1044" t="s">
        <v>2041</v>
      </c>
      <c r="B1044" t="s">
        <v>2042</v>
      </c>
      <c r="C1044">
        <v>3.8000000000000003</v>
      </c>
      <c r="E1044" t="str">
        <f>CONCATENATE(J1044,". ",N1044)</f>
        <v xml:space="preserve">. </v>
      </c>
      <c r="F1044">
        <v>75</v>
      </c>
      <c r="G1044" t="b">
        <v>0</v>
      </c>
      <c r="K1044" s="188" t="str">
        <f>IFERROR(_xlfn.XLOOKUP(A1044,[1]Fleet!A:A,[1]Fleet!E:E,""),"")</f>
        <v/>
      </c>
      <c r="L1044" s="188" t="s">
        <v>76</v>
      </c>
      <c r="M1044" s="188" t="s">
        <v>76</v>
      </c>
      <c r="O1044">
        <v>1202</v>
      </c>
      <c r="P1044">
        <f>_xlfn.XLOOKUP(A1044,'[1]Classic Net to delete'!D:D,'[1]Classic Net to delete'!AA:AA,0)</f>
        <v>0</v>
      </c>
    </row>
    <row r="1045" spans="1:16" x14ac:dyDescent="0.25">
      <c r="A1045" t="s">
        <v>2043</v>
      </c>
      <c r="B1045" t="s">
        <v>2044</v>
      </c>
      <c r="C1045">
        <v>3.8000000000000003</v>
      </c>
      <c r="E1045" t="str">
        <f>CONCATENATE(J1045,". ",N1045)</f>
        <v xml:space="preserve">. </v>
      </c>
      <c r="F1045">
        <v>75</v>
      </c>
      <c r="G1045" t="b">
        <v>0</v>
      </c>
      <c r="K1045" s="188" t="str">
        <f>IFERROR(_xlfn.XLOOKUP(A1045,[1]Fleet!A:A,[1]Fleet!E:E,""),"")</f>
        <v/>
      </c>
      <c r="L1045" s="188" t="s">
        <v>76</v>
      </c>
      <c r="M1045" s="188" t="s">
        <v>76</v>
      </c>
      <c r="O1045">
        <v>1201</v>
      </c>
      <c r="P1045">
        <f>_xlfn.XLOOKUP(A1045,'[1]Classic Net to delete'!D:D,'[1]Classic Net to delete'!AA:AA,0)</f>
        <v>0</v>
      </c>
    </row>
    <row r="1046" spans="1:16" x14ac:dyDescent="0.25">
      <c r="A1046" t="s">
        <v>2045</v>
      </c>
      <c r="B1046" t="s">
        <v>2046</v>
      </c>
      <c r="C1046">
        <v>3.8000000000000003</v>
      </c>
      <c r="E1046" t="str">
        <f>CONCATENATE(J1046,". ",N1046)</f>
        <v xml:space="preserve">. </v>
      </c>
      <c r="F1046">
        <v>75</v>
      </c>
      <c r="G1046" t="b">
        <v>0</v>
      </c>
      <c r="K1046" s="188" t="str">
        <f>IFERROR(_xlfn.XLOOKUP(A1046,[1]Fleet!A:A,[1]Fleet!E:E,""),"")</f>
        <v/>
      </c>
      <c r="L1046" s="188" t="s">
        <v>76</v>
      </c>
      <c r="M1046" s="188" t="s">
        <v>76</v>
      </c>
      <c r="O1046">
        <v>1200</v>
      </c>
      <c r="P1046">
        <f>_xlfn.XLOOKUP(A1046,'[1]Classic Net to delete'!D:D,'[1]Classic Net to delete'!AA:AA,0)</f>
        <v>0</v>
      </c>
    </row>
    <row r="1047" spans="1:16" x14ac:dyDescent="0.25">
      <c r="A1047" t="s">
        <v>2047</v>
      </c>
      <c r="B1047" t="s">
        <v>2048</v>
      </c>
      <c r="C1047">
        <v>3.8000000000000003</v>
      </c>
      <c r="E1047" t="str">
        <f>CONCATENATE(J1047,". ",N1047)</f>
        <v xml:space="preserve">. </v>
      </c>
      <c r="F1047">
        <v>75</v>
      </c>
      <c r="G1047" t="b">
        <v>0</v>
      </c>
      <c r="K1047" s="188" t="str">
        <f>IFERROR(_xlfn.XLOOKUP(A1047,[1]Fleet!A:A,[1]Fleet!E:E,""),"")</f>
        <v/>
      </c>
      <c r="L1047" s="188" t="s">
        <v>76</v>
      </c>
      <c r="M1047" s="188" t="s">
        <v>76</v>
      </c>
      <c r="O1047">
        <v>1199</v>
      </c>
      <c r="P1047">
        <f>_xlfn.XLOOKUP(A1047,'[1]Classic Net to delete'!D:D,'[1]Classic Net to delete'!AA:AA,0)</f>
        <v>0</v>
      </c>
    </row>
    <row r="1048" spans="1:16" x14ac:dyDescent="0.25">
      <c r="A1048" t="s">
        <v>2049</v>
      </c>
      <c r="B1048" t="s">
        <v>2050</v>
      </c>
      <c r="C1048">
        <v>3.8000000000000003</v>
      </c>
      <c r="E1048" t="str">
        <f>CONCATENATE(J1048,". ",N1048)</f>
        <v xml:space="preserve">. </v>
      </c>
      <c r="F1048">
        <v>75</v>
      </c>
      <c r="G1048" t="b">
        <v>0</v>
      </c>
      <c r="K1048" s="188" t="str">
        <f>IFERROR(_xlfn.XLOOKUP(A1048,[1]Fleet!A:A,[1]Fleet!E:E,""),"")</f>
        <v/>
      </c>
      <c r="L1048" s="188" t="s">
        <v>76</v>
      </c>
      <c r="M1048" s="188" t="s">
        <v>76</v>
      </c>
      <c r="O1048">
        <v>1198</v>
      </c>
      <c r="P1048">
        <f>_xlfn.XLOOKUP(A1048,'[1]Classic Net to delete'!D:D,'[1]Classic Net to delete'!AA:AA,0)</f>
        <v>0</v>
      </c>
    </row>
    <row r="1049" spans="1:16" x14ac:dyDescent="0.25">
      <c r="A1049" t="s">
        <v>2051</v>
      </c>
      <c r="B1049" t="s">
        <v>2052</v>
      </c>
      <c r="C1049">
        <v>3.8000000000000003</v>
      </c>
      <c r="E1049" t="str">
        <f>CONCATENATE(J1049,". ",N1049)</f>
        <v xml:space="preserve">. </v>
      </c>
      <c r="F1049">
        <v>75</v>
      </c>
      <c r="G1049" t="b">
        <v>0</v>
      </c>
      <c r="K1049" s="188" t="str">
        <f>IFERROR(_xlfn.XLOOKUP(A1049,[1]Fleet!A:A,[1]Fleet!E:E,""),"")</f>
        <v/>
      </c>
      <c r="L1049" s="188" t="s">
        <v>76</v>
      </c>
      <c r="M1049" s="188" t="s">
        <v>76</v>
      </c>
      <c r="O1049">
        <v>1197</v>
      </c>
      <c r="P1049">
        <f>_xlfn.XLOOKUP(A1049,'[1]Classic Net to delete'!D:D,'[1]Classic Net to delete'!AA:AA,0)</f>
        <v>0</v>
      </c>
    </row>
    <row r="1050" spans="1:16" x14ac:dyDescent="0.25">
      <c r="A1050" t="s">
        <v>2053</v>
      </c>
      <c r="B1050" t="s">
        <v>2054</v>
      </c>
      <c r="C1050">
        <v>3.8000000000000003</v>
      </c>
      <c r="E1050" t="str">
        <f>CONCATENATE(J1050,". ",N1050)</f>
        <v xml:space="preserve">. </v>
      </c>
      <c r="F1050">
        <v>75</v>
      </c>
      <c r="G1050" t="b">
        <v>0</v>
      </c>
      <c r="K1050" s="188" t="str">
        <f>IFERROR(_xlfn.XLOOKUP(A1050,[1]Fleet!A:A,[1]Fleet!E:E,""),"")</f>
        <v/>
      </c>
      <c r="L1050" s="188" t="s">
        <v>76</v>
      </c>
      <c r="M1050" s="188" t="s">
        <v>76</v>
      </c>
      <c r="O1050">
        <v>1196</v>
      </c>
      <c r="P1050">
        <f>_xlfn.XLOOKUP(A1050,'[1]Classic Net to delete'!D:D,'[1]Classic Net to delete'!AA:AA,0)</f>
        <v>0</v>
      </c>
    </row>
    <row r="1051" spans="1:16" x14ac:dyDescent="0.25">
      <c r="A1051" t="s">
        <v>2055</v>
      </c>
      <c r="B1051" t="s">
        <v>2056</v>
      </c>
      <c r="C1051">
        <v>3.8000000000000003</v>
      </c>
      <c r="E1051" t="str">
        <f>CONCATENATE(J1051,". ",N1051)</f>
        <v xml:space="preserve">. </v>
      </c>
      <c r="F1051">
        <v>75</v>
      </c>
      <c r="G1051" t="b">
        <v>0</v>
      </c>
      <c r="K1051" s="188" t="str">
        <f>IFERROR(_xlfn.XLOOKUP(A1051,[1]Fleet!A:A,[1]Fleet!E:E,""),"")</f>
        <v/>
      </c>
      <c r="L1051" s="188" t="s">
        <v>76</v>
      </c>
      <c r="M1051" s="188" t="s">
        <v>76</v>
      </c>
      <c r="O1051">
        <v>1195</v>
      </c>
      <c r="P1051">
        <f>_xlfn.XLOOKUP(A1051,'[1]Classic Net to delete'!D:D,'[1]Classic Net to delete'!AA:AA,0)</f>
        <v>0</v>
      </c>
    </row>
    <row r="1052" spans="1:16" x14ac:dyDescent="0.25">
      <c r="A1052" t="s">
        <v>2057</v>
      </c>
      <c r="B1052" t="s">
        <v>2058</v>
      </c>
      <c r="C1052">
        <v>3.8000000000000003</v>
      </c>
      <c r="E1052" t="str">
        <f>CONCATENATE(J1052,". ",N1052)</f>
        <v xml:space="preserve">. </v>
      </c>
      <c r="F1052">
        <v>75</v>
      </c>
      <c r="G1052" t="b">
        <v>0</v>
      </c>
      <c r="K1052" s="188" t="str">
        <f>IFERROR(_xlfn.XLOOKUP(A1052,[1]Fleet!A:A,[1]Fleet!E:E,""),"")</f>
        <v/>
      </c>
      <c r="L1052" s="188" t="s">
        <v>76</v>
      </c>
      <c r="M1052" s="188" t="s">
        <v>76</v>
      </c>
      <c r="O1052">
        <v>1194</v>
      </c>
      <c r="P1052">
        <f>_xlfn.XLOOKUP(A1052,'[1]Classic Net to delete'!D:D,'[1]Classic Net to delete'!AA:AA,0)</f>
        <v>0</v>
      </c>
    </row>
    <row r="1053" spans="1:16" x14ac:dyDescent="0.25">
      <c r="A1053" t="s">
        <v>2059</v>
      </c>
      <c r="B1053" t="s">
        <v>2060</v>
      </c>
      <c r="C1053">
        <v>0</v>
      </c>
      <c r="E1053" t="str">
        <f>CONCATENATE(J1053,". ",N1053)</f>
        <v xml:space="preserve">. </v>
      </c>
      <c r="F1053">
        <v>75</v>
      </c>
      <c r="G1053" t="b">
        <v>0</v>
      </c>
      <c r="K1053" s="188" t="str">
        <f>IFERROR(_xlfn.XLOOKUP(A1053,[1]Fleet!A:A,[1]Fleet!E:E,""),"")</f>
        <v/>
      </c>
      <c r="L1053" s="188" t="s">
        <v>76</v>
      </c>
      <c r="M1053" s="188" t="s">
        <v>76</v>
      </c>
      <c r="O1053">
        <v>1193</v>
      </c>
      <c r="P1053">
        <f>_xlfn.XLOOKUP(A1053,'[1]Classic Net to delete'!D:D,'[1]Classic Net to delete'!AA:AA,0)</f>
        <v>0</v>
      </c>
    </row>
    <row r="1054" spans="1:16" x14ac:dyDescent="0.25">
      <c r="A1054" t="s">
        <v>2061</v>
      </c>
      <c r="B1054" t="s">
        <v>2062</v>
      </c>
      <c r="C1054">
        <v>3.8000000000000003</v>
      </c>
      <c r="E1054" t="str">
        <f>CONCATENATE(J1054,". ",N1054)</f>
        <v xml:space="preserve">. </v>
      </c>
      <c r="F1054">
        <v>75</v>
      </c>
      <c r="G1054" t="b">
        <v>0</v>
      </c>
      <c r="K1054" s="188" t="str">
        <f>IFERROR(_xlfn.XLOOKUP(A1054,[1]Fleet!A:A,[1]Fleet!E:E,""),"")</f>
        <v/>
      </c>
      <c r="L1054" s="188" t="s">
        <v>76</v>
      </c>
      <c r="M1054" s="188" t="s">
        <v>76</v>
      </c>
      <c r="O1054">
        <v>1192</v>
      </c>
      <c r="P1054">
        <f>_xlfn.XLOOKUP(A1054,'[1]Classic Net to delete'!D:D,'[1]Classic Net to delete'!AA:AA,0)</f>
        <v>0</v>
      </c>
    </row>
    <row r="1055" spans="1:16" x14ac:dyDescent="0.25">
      <c r="A1055" t="s">
        <v>2063</v>
      </c>
      <c r="B1055" t="s">
        <v>2064</v>
      </c>
      <c r="C1055">
        <v>3.8000000000000003</v>
      </c>
      <c r="E1055" t="str">
        <f>CONCATENATE(J1055,". ",N1055)</f>
        <v xml:space="preserve">. </v>
      </c>
      <c r="F1055">
        <v>75</v>
      </c>
      <c r="G1055" t="b">
        <v>0</v>
      </c>
      <c r="K1055" s="188" t="str">
        <f>IFERROR(_xlfn.XLOOKUP(A1055,[1]Fleet!A:A,[1]Fleet!E:E,""),"")</f>
        <v/>
      </c>
      <c r="L1055" s="188" t="s">
        <v>76</v>
      </c>
      <c r="M1055" s="188" t="s">
        <v>76</v>
      </c>
      <c r="O1055">
        <v>1191</v>
      </c>
      <c r="P1055">
        <f>_xlfn.XLOOKUP(A1055,'[1]Classic Net to delete'!D:D,'[1]Classic Net to delete'!AA:AA,0)</f>
        <v>0</v>
      </c>
    </row>
    <row r="1056" spans="1:16" x14ac:dyDescent="0.25">
      <c r="A1056" t="s">
        <v>2065</v>
      </c>
      <c r="B1056" t="s">
        <v>2066</v>
      </c>
      <c r="C1056">
        <v>3.8000000000000003</v>
      </c>
      <c r="E1056" t="str">
        <f>CONCATENATE(J1056,". ",N1056)</f>
        <v xml:space="preserve">. </v>
      </c>
      <c r="F1056">
        <v>75</v>
      </c>
      <c r="G1056" t="b">
        <v>0</v>
      </c>
      <c r="K1056" s="188" t="str">
        <f>IFERROR(_xlfn.XLOOKUP(A1056,[1]Fleet!A:A,[1]Fleet!E:E,""),"")</f>
        <v/>
      </c>
      <c r="L1056" s="188" t="s">
        <v>76</v>
      </c>
      <c r="M1056" s="188" t="s">
        <v>76</v>
      </c>
      <c r="O1056">
        <v>1190</v>
      </c>
      <c r="P1056">
        <f>_xlfn.XLOOKUP(A1056,'[1]Classic Net to delete'!D:D,'[1]Classic Net to delete'!AA:AA,0)</f>
        <v>0</v>
      </c>
    </row>
    <row r="1057" spans="1:16" x14ac:dyDescent="0.25">
      <c r="A1057" t="s">
        <v>2067</v>
      </c>
      <c r="B1057" t="s">
        <v>2068</v>
      </c>
      <c r="C1057">
        <v>3.8000000000000003</v>
      </c>
      <c r="E1057" t="str">
        <f>CONCATENATE(J1057,". ",N1057)</f>
        <v xml:space="preserve">. </v>
      </c>
      <c r="F1057">
        <v>75</v>
      </c>
      <c r="G1057" t="b">
        <v>0</v>
      </c>
      <c r="K1057" s="188" t="str">
        <f>IFERROR(_xlfn.XLOOKUP(A1057,[1]Fleet!A:A,[1]Fleet!E:E,""),"")</f>
        <v/>
      </c>
      <c r="L1057" s="188" t="s">
        <v>76</v>
      </c>
      <c r="M1057" s="188" t="s">
        <v>76</v>
      </c>
      <c r="O1057">
        <v>1189</v>
      </c>
      <c r="P1057">
        <f>_xlfn.XLOOKUP(A1057,'[1]Classic Net to delete'!D:D,'[1]Classic Net to delete'!AA:AA,0)</f>
        <v>0</v>
      </c>
    </row>
    <row r="1058" spans="1:16" x14ac:dyDescent="0.25">
      <c r="A1058" t="s">
        <v>2069</v>
      </c>
      <c r="B1058" t="s">
        <v>2070</v>
      </c>
      <c r="C1058">
        <v>3.8000000000000003</v>
      </c>
      <c r="E1058" t="str">
        <f>CONCATENATE(J1058,". ",N1058)</f>
        <v xml:space="preserve">. </v>
      </c>
      <c r="F1058">
        <v>75</v>
      </c>
      <c r="G1058" t="b">
        <v>0</v>
      </c>
      <c r="K1058" s="188" t="str">
        <f>IFERROR(_xlfn.XLOOKUP(A1058,[1]Fleet!A:A,[1]Fleet!E:E,""),"")</f>
        <v/>
      </c>
      <c r="L1058" s="188" t="s">
        <v>76</v>
      </c>
      <c r="M1058" s="188" t="s">
        <v>76</v>
      </c>
      <c r="O1058">
        <v>1188</v>
      </c>
      <c r="P1058">
        <f>_xlfn.XLOOKUP(A1058,'[1]Classic Net to delete'!D:D,'[1]Classic Net to delete'!AA:AA,0)</f>
        <v>0</v>
      </c>
    </row>
    <row r="1059" spans="1:16" x14ac:dyDescent="0.25">
      <c r="A1059" t="s">
        <v>2071</v>
      </c>
      <c r="B1059" t="s">
        <v>2072</v>
      </c>
      <c r="C1059">
        <v>3.8000000000000003</v>
      </c>
      <c r="E1059" t="str">
        <f>CONCATENATE(J1059,". ",N1059)</f>
        <v xml:space="preserve">. </v>
      </c>
      <c r="F1059">
        <v>75</v>
      </c>
      <c r="G1059" t="b">
        <v>0</v>
      </c>
      <c r="K1059" s="188" t="str">
        <f>IFERROR(_xlfn.XLOOKUP(A1059,[1]Fleet!A:A,[1]Fleet!E:E,""),"")</f>
        <v/>
      </c>
      <c r="L1059" s="188" t="s">
        <v>76</v>
      </c>
      <c r="M1059" s="188" t="s">
        <v>76</v>
      </c>
      <c r="O1059">
        <v>1187</v>
      </c>
      <c r="P1059">
        <f>_xlfn.XLOOKUP(A1059,'[1]Classic Net to delete'!D:D,'[1]Classic Net to delete'!AA:AA,0)</f>
        <v>0</v>
      </c>
    </row>
    <row r="1060" spans="1:16" x14ac:dyDescent="0.25">
      <c r="A1060" t="s">
        <v>2073</v>
      </c>
      <c r="B1060" t="s">
        <v>2074</v>
      </c>
      <c r="C1060">
        <v>3.8000000000000003</v>
      </c>
      <c r="E1060" t="str">
        <f>CONCATENATE(J1060,". ",N1060)</f>
        <v xml:space="preserve">. </v>
      </c>
      <c r="F1060">
        <v>75</v>
      </c>
      <c r="G1060" t="b">
        <v>0</v>
      </c>
      <c r="K1060" s="188" t="str">
        <f>IFERROR(_xlfn.XLOOKUP(A1060,[1]Fleet!A:A,[1]Fleet!E:E,""),"")</f>
        <v/>
      </c>
      <c r="L1060" s="188" t="s">
        <v>76</v>
      </c>
      <c r="M1060" s="188" t="s">
        <v>76</v>
      </c>
      <c r="O1060">
        <v>1186</v>
      </c>
      <c r="P1060">
        <f>_xlfn.XLOOKUP(A1060,'[1]Classic Net to delete'!D:D,'[1]Classic Net to delete'!AA:AA,0)</f>
        <v>0</v>
      </c>
    </row>
    <row r="1061" spans="1:16" x14ac:dyDescent="0.25">
      <c r="A1061" t="s">
        <v>2075</v>
      </c>
      <c r="B1061" t="s">
        <v>2076</v>
      </c>
      <c r="C1061">
        <v>3.8000000000000003</v>
      </c>
      <c r="E1061" t="str">
        <f>CONCATENATE(J1061,". ",N1061)</f>
        <v xml:space="preserve">. </v>
      </c>
      <c r="F1061">
        <v>75</v>
      </c>
      <c r="G1061" t="b">
        <v>0</v>
      </c>
      <c r="K1061" s="188" t="str">
        <f>IFERROR(_xlfn.XLOOKUP(A1061,[1]Fleet!A:A,[1]Fleet!E:E,""),"")</f>
        <v/>
      </c>
      <c r="L1061" s="188" t="s">
        <v>76</v>
      </c>
      <c r="M1061" s="188" t="s">
        <v>76</v>
      </c>
      <c r="O1061">
        <v>1185</v>
      </c>
      <c r="P1061">
        <f>_xlfn.XLOOKUP(A1061,'[1]Classic Net to delete'!D:D,'[1]Classic Net to delete'!AA:AA,0)</f>
        <v>0</v>
      </c>
    </row>
    <row r="1062" spans="1:16" x14ac:dyDescent="0.25">
      <c r="A1062" t="s">
        <v>2077</v>
      </c>
      <c r="B1062" t="s">
        <v>2078</v>
      </c>
      <c r="C1062">
        <v>3.8000000000000003</v>
      </c>
      <c r="E1062" t="str">
        <f>CONCATENATE(J1062,". ",N1062)</f>
        <v xml:space="preserve">. </v>
      </c>
      <c r="F1062">
        <v>75</v>
      </c>
      <c r="G1062" t="b">
        <v>0</v>
      </c>
      <c r="K1062" s="188" t="str">
        <f>IFERROR(_xlfn.XLOOKUP(A1062,[1]Fleet!A:A,[1]Fleet!E:E,""),"")</f>
        <v/>
      </c>
      <c r="L1062" s="188" t="s">
        <v>76</v>
      </c>
      <c r="M1062" s="188" t="s">
        <v>76</v>
      </c>
      <c r="O1062">
        <v>1184</v>
      </c>
      <c r="P1062">
        <f>_xlfn.XLOOKUP(A1062,'[1]Classic Net to delete'!D:D,'[1]Classic Net to delete'!AA:AA,0)</f>
        <v>0</v>
      </c>
    </row>
    <row r="1063" spans="1:16" x14ac:dyDescent="0.25">
      <c r="A1063" t="s">
        <v>2079</v>
      </c>
      <c r="B1063" t="s">
        <v>2080</v>
      </c>
      <c r="C1063">
        <v>3.8000000000000003</v>
      </c>
      <c r="E1063" t="str">
        <f>CONCATENATE(J1063,". ",N1063)</f>
        <v xml:space="preserve">. </v>
      </c>
      <c r="F1063">
        <v>75</v>
      </c>
      <c r="G1063" t="b">
        <v>0</v>
      </c>
      <c r="K1063" s="188" t="str">
        <f>IFERROR(_xlfn.XLOOKUP(A1063,[1]Fleet!A:A,[1]Fleet!E:E,""),"")</f>
        <v/>
      </c>
      <c r="L1063" s="188" t="s">
        <v>76</v>
      </c>
      <c r="M1063" s="188" t="s">
        <v>76</v>
      </c>
      <c r="O1063">
        <v>1183</v>
      </c>
      <c r="P1063">
        <f>_xlfn.XLOOKUP(A1063,'[1]Classic Net to delete'!D:D,'[1]Classic Net to delete'!AA:AA,0)</f>
        <v>0</v>
      </c>
    </row>
    <row r="1064" spans="1:16" x14ac:dyDescent="0.25">
      <c r="A1064" t="s">
        <v>2081</v>
      </c>
      <c r="B1064" t="s">
        <v>2082</v>
      </c>
      <c r="C1064">
        <v>3.8000000000000003</v>
      </c>
      <c r="E1064" t="str">
        <f>CONCATENATE(J1064,". ",N1064)</f>
        <v xml:space="preserve">. </v>
      </c>
      <c r="F1064">
        <v>75</v>
      </c>
      <c r="G1064" t="b">
        <v>0</v>
      </c>
      <c r="K1064" s="188" t="str">
        <f>IFERROR(_xlfn.XLOOKUP(A1064,[1]Fleet!A:A,[1]Fleet!E:E,""),"")</f>
        <v/>
      </c>
      <c r="L1064" s="188" t="s">
        <v>76</v>
      </c>
      <c r="M1064" s="188" t="s">
        <v>76</v>
      </c>
      <c r="O1064">
        <v>1182</v>
      </c>
      <c r="P1064">
        <f>_xlfn.XLOOKUP(A1064,'[1]Classic Net to delete'!D:D,'[1]Classic Net to delete'!AA:AA,0)</f>
        <v>0</v>
      </c>
    </row>
    <row r="1065" spans="1:16" x14ac:dyDescent="0.25">
      <c r="A1065" t="s">
        <v>2083</v>
      </c>
      <c r="B1065" t="s">
        <v>2084</v>
      </c>
      <c r="C1065">
        <v>3.8000000000000003</v>
      </c>
      <c r="E1065" t="str">
        <f>CONCATENATE(J1065,". ",N1065)</f>
        <v xml:space="preserve">. </v>
      </c>
      <c r="F1065">
        <v>75</v>
      </c>
      <c r="G1065" t="b">
        <v>0</v>
      </c>
      <c r="K1065" s="188" t="str">
        <f>IFERROR(_xlfn.XLOOKUP(A1065,[1]Fleet!A:A,[1]Fleet!E:E,""),"")</f>
        <v/>
      </c>
      <c r="L1065" s="188" t="s">
        <v>76</v>
      </c>
      <c r="M1065" s="188" t="s">
        <v>76</v>
      </c>
      <c r="O1065">
        <v>1181</v>
      </c>
      <c r="P1065">
        <f>_xlfn.XLOOKUP(A1065,'[1]Classic Net to delete'!D:D,'[1]Classic Net to delete'!AA:AA,0)</f>
        <v>0</v>
      </c>
    </row>
    <row r="1066" spans="1:16" x14ac:dyDescent="0.25">
      <c r="A1066" t="s">
        <v>2085</v>
      </c>
      <c r="B1066" t="s">
        <v>2086</v>
      </c>
      <c r="C1066">
        <v>3.8000000000000003</v>
      </c>
      <c r="E1066" t="str">
        <f>CONCATENATE(J1066,". ",N1066)</f>
        <v xml:space="preserve">. </v>
      </c>
      <c r="F1066">
        <v>75</v>
      </c>
      <c r="G1066" t="b">
        <v>0</v>
      </c>
      <c r="K1066" s="188" t="str">
        <f>IFERROR(_xlfn.XLOOKUP(A1066,[1]Fleet!A:A,[1]Fleet!E:E,""),"")</f>
        <v/>
      </c>
      <c r="L1066" s="188" t="s">
        <v>76</v>
      </c>
      <c r="M1066" s="188" t="s">
        <v>76</v>
      </c>
      <c r="O1066">
        <v>1180</v>
      </c>
      <c r="P1066">
        <f>_xlfn.XLOOKUP(A1066,'[1]Classic Net to delete'!D:D,'[1]Classic Net to delete'!AA:AA,0)</f>
        <v>0</v>
      </c>
    </row>
    <row r="1067" spans="1:16" x14ac:dyDescent="0.25">
      <c r="A1067" t="s">
        <v>2087</v>
      </c>
      <c r="B1067" t="s">
        <v>2088</v>
      </c>
      <c r="C1067">
        <v>3.8000000000000003</v>
      </c>
      <c r="E1067" t="str">
        <f>CONCATENATE(J1067,". ",N1067)</f>
        <v xml:space="preserve">. </v>
      </c>
      <c r="F1067">
        <v>75</v>
      </c>
      <c r="G1067" t="b">
        <v>0</v>
      </c>
      <c r="K1067" s="188" t="str">
        <f>IFERROR(_xlfn.XLOOKUP(A1067,[1]Fleet!A:A,[1]Fleet!E:E,""),"")</f>
        <v/>
      </c>
      <c r="L1067" s="188" t="s">
        <v>76</v>
      </c>
      <c r="M1067" s="188" t="s">
        <v>76</v>
      </c>
      <c r="O1067">
        <v>1179</v>
      </c>
      <c r="P1067">
        <f>_xlfn.XLOOKUP(A1067,'[1]Classic Net to delete'!D:D,'[1]Classic Net to delete'!AA:AA,0)</f>
        <v>0</v>
      </c>
    </row>
    <row r="1068" spans="1:16" x14ac:dyDescent="0.25">
      <c r="A1068" t="s">
        <v>2089</v>
      </c>
      <c r="B1068" t="s">
        <v>2090</v>
      </c>
      <c r="C1068">
        <v>3.8000000000000003</v>
      </c>
      <c r="E1068" t="str">
        <f>CONCATENATE(J1068,". ",N1068)</f>
        <v xml:space="preserve">. </v>
      </c>
      <c r="F1068">
        <v>75</v>
      </c>
      <c r="G1068" t="b">
        <v>0</v>
      </c>
      <c r="K1068" s="188" t="str">
        <f>IFERROR(_xlfn.XLOOKUP(A1068,[1]Fleet!A:A,[1]Fleet!E:E,""),"")</f>
        <v/>
      </c>
      <c r="L1068" s="188" t="s">
        <v>76</v>
      </c>
      <c r="M1068" s="188" t="s">
        <v>76</v>
      </c>
      <c r="O1068">
        <v>1178</v>
      </c>
      <c r="P1068">
        <f>_xlfn.XLOOKUP(A1068,'[1]Classic Net to delete'!D:D,'[1]Classic Net to delete'!AA:AA,0)</f>
        <v>0</v>
      </c>
    </row>
    <row r="1069" spans="1:16" x14ac:dyDescent="0.25">
      <c r="A1069" t="s">
        <v>2091</v>
      </c>
      <c r="B1069" t="s">
        <v>2092</v>
      </c>
      <c r="C1069">
        <v>3.8000000000000003</v>
      </c>
      <c r="E1069" t="str">
        <f>CONCATENATE(J1069,". ",N1069)</f>
        <v xml:space="preserve">. </v>
      </c>
      <c r="F1069">
        <v>75</v>
      </c>
      <c r="G1069" t="b">
        <v>0</v>
      </c>
      <c r="K1069" s="188" t="str">
        <f>IFERROR(_xlfn.XLOOKUP(A1069,[1]Fleet!A:A,[1]Fleet!E:E,""),"")</f>
        <v/>
      </c>
      <c r="L1069" s="188" t="s">
        <v>76</v>
      </c>
      <c r="M1069" s="188" t="s">
        <v>76</v>
      </c>
      <c r="O1069">
        <v>1177</v>
      </c>
      <c r="P1069">
        <f>_xlfn.XLOOKUP(A1069,'[1]Classic Net to delete'!D:D,'[1]Classic Net to delete'!AA:AA,0)</f>
        <v>0</v>
      </c>
    </row>
    <row r="1070" spans="1:16" x14ac:dyDescent="0.25">
      <c r="A1070" t="s">
        <v>2093</v>
      </c>
      <c r="B1070" t="s">
        <v>2094</v>
      </c>
      <c r="C1070">
        <v>3.8000000000000003</v>
      </c>
      <c r="E1070" t="str">
        <f>CONCATENATE(J1070,". ",N1070)</f>
        <v xml:space="preserve">. </v>
      </c>
      <c r="F1070">
        <v>75</v>
      </c>
      <c r="G1070" t="b">
        <v>0</v>
      </c>
      <c r="K1070" s="188" t="str">
        <f>IFERROR(_xlfn.XLOOKUP(A1070,[1]Fleet!A:A,[1]Fleet!E:E,""),"")</f>
        <v/>
      </c>
      <c r="L1070" s="188" t="s">
        <v>76</v>
      </c>
      <c r="M1070" s="188" t="s">
        <v>76</v>
      </c>
      <c r="O1070">
        <v>1176</v>
      </c>
      <c r="P1070">
        <f>_xlfn.XLOOKUP(A1070,'[1]Classic Net to delete'!D:D,'[1]Classic Net to delete'!AA:AA,0)</f>
        <v>0</v>
      </c>
    </row>
    <row r="1071" spans="1:16" x14ac:dyDescent="0.25">
      <c r="A1071" t="s">
        <v>2095</v>
      </c>
      <c r="B1071" t="s">
        <v>2096</v>
      </c>
      <c r="C1071">
        <v>3.8000000000000003</v>
      </c>
      <c r="E1071" t="str">
        <f>CONCATENATE(J1071,". ",N1071)</f>
        <v xml:space="preserve">. </v>
      </c>
      <c r="F1071">
        <v>75</v>
      </c>
      <c r="G1071" t="b">
        <v>0</v>
      </c>
      <c r="K1071" s="188" t="str">
        <f>IFERROR(_xlfn.XLOOKUP(A1071,[1]Fleet!A:A,[1]Fleet!E:E,""),"")</f>
        <v/>
      </c>
      <c r="L1071" s="188" t="s">
        <v>76</v>
      </c>
      <c r="M1071" s="188" t="s">
        <v>76</v>
      </c>
      <c r="O1071">
        <v>1175</v>
      </c>
      <c r="P1071">
        <f>_xlfn.XLOOKUP(A1071,'[1]Classic Net to delete'!D:D,'[1]Classic Net to delete'!AA:AA,0)</f>
        <v>0</v>
      </c>
    </row>
    <row r="1072" spans="1:16" x14ac:dyDescent="0.25">
      <c r="A1072" t="s">
        <v>2097</v>
      </c>
      <c r="B1072" t="s">
        <v>2098</v>
      </c>
      <c r="C1072">
        <v>3.8000000000000003</v>
      </c>
      <c r="E1072" t="str">
        <f>CONCATENATE(J1072,". ",N1072)</f>
        <v xml:space="preserve">. </v>
      </c>
      <c r="F1072">
        <v>75</v>
      </c>
      <c r="G1072" t="b">
        <v>0</v>
      </c>
      <c r="K1072" s="188" t="str">
        <f>IFERROR(_xlfn.XLOOKUP(A1072,[1]Fleet!A:A,[1]Fleet!E:E,""),"")</f>
        <v/>
      </c>
      <c r="L1072" s="188" t="s">
        <v>76</v>
      </c>
      <c r="M1072" s="188" t="s">
        <v>76</v>
      </c>
      <c r="O1072">
        <v>1174</v>
      </c>
      <c r="P1072">
        <f>_xlfn.XLOOKUP(A1072,'[1]Classic Net to delete'!D:D,'[1]Classic Net to delete'!AA:AA,0)</f>
        <v>0</v>
      </c>
    </row>
    <row r="1073" spans="1:16" x14ac:dyDescent="0.25">
      <c r="A1073" t="s">
        <v>2099</v>
      </c>
      <c r="B1073" t="s">
        <v>2100</v>
      </c>
      <c r="C1073">
        <v>3.8000000000000003</v>
      </c>
      <c r="E1073" t="str">
        <f>CONCATENATE(J1073,". ",N1073)</f>
        <v xml:space="preserve">. </v>
      </c>
      <c r="F1073">
        <v>75</v>
      </c>
      <c r="G1073" t="b">
        <v>0</v>
      </c>
      <c r="K1073" s="188" t="str">
        <f>IFERROR(_xlfn.XLOOKUP(A1073,[1]Fleet!A:A,[1]Fleet!E:E,""),"")</f>
        <v/>
      </c>
      <c r="L1073" s="188" t="s">
        <v>76</v>
      </c>
      <c r="M1073" s="188" t="s">
        <v>76</v>
      </c>
      <c r="O1073">
        <v>1173</v>
      </c>
      <c r="P1073">
        <f>_xlfn.XLOOKUP(A1073,'[1]Classic Net to delete'!D:D,'[1]Classic Net to delete'!AA:AA,0)</f>
        <v>0</v>
      </c>
    </row>
    <row r="1074" spans="1:16" x14ac:dyDescent="0.25">
      <c r="A1074" t="s">
        <v>2101</v>
      </c>
      <c r="B1074" t="s">
        <v>2102</v>
      </c>
      <c r="C1074">
        <v>6.96</v>
      </c>
      <c r="E1074" t="str">
        <f>CONCATENATE(J1074,". ",N1074)</f>
        <v xml:space="preserve">. </v>
      </c>
      <c r="F1074">
        <v>75</v>
      </c>
      <c r="G1074" t="b">
        <v>0</v>
      </c>
      <c r="K1074" s="188" t="str">
        <f>IFERROR(_xlfn.XLOOKUP(A1074,[1]Fleet!A:A,[1]Fleet!E:E,""),"")</f>
        <v/>
      </c>
      <c r="L1074" s="188" t="s">
        <v>76</v>
      </c>
      <c r="M1074" s="188" t="s">
        <v>76</v>
      </c>
      <c r="O1074">
        <v>1172</v>
      </c>
      <c r="P1074">
        <f>_xlfn.XLOOKUP(A1074,'[1]Classic Net to delete'!D:D,'[1]Classic Net to delete'!AA:AA,0)</f>
        <v>0</v>
      </c>
    </row>
    <row r="1075" spans="1:16" x14ac:dyDescent="0.25">
      <c r="A1075" t="s">
        <v>2103</v>
      </c>
      <c r="B1075" t="s">
        <v>2104</v>
      </c>
      <c r="C1075">
        <v>6.96</v>
      </c>
      <c r="E1075" t="str">
        <f>CONCATENATE(J1075,". ",N1075)</f>
        <v xml:space="preserve">. </v>
      </c>
      <c r="F1075">
        <v>75</v>
      </c>
      <c r="G1075" t="b">
        <v>0</v>
      </c>
      <c r="K1075" s="188" t="str">
        <f>IFERROR(_xlfn.XLOOKUP(A1075,[1]Fleet!A:A,[1]Fleet!E:E,""),"")</f>
        <v/>
      </c>
      <c r="L1075" s="188" t="s">
        <v>76</v>
      </c>
      <c r="M1075" s="188" t="s">
        <v>76</v>
      </c>
      <c r="O1075">
        <v>1171</v>
      </c>
      <c r="P1075">
        <f>_xlfn.XLOOKUP(A1075,'[1]Classic Net to delete'!D:D,'[1]Classic Net to delete'!AA:AA,0)</f>
        <v>0</v>
      </c>
    </row>
    <row r="1076" spans="1:16" x14ac:dyDescent="0.25">
      <c r="A1076" t="s">
        <v>2105</v>
      </c>
      <c r="B1076" t="s">
        <v>2106</v>
      </c>
      <c r="C1076">
        <v>6.96</v>
      </c>
      <c r="E1076" t="str">
        <f>CONCATENATE(J1076,". ",N1076)</f>
        <v xml:space="preserve">. </v>
      </c>
      <c r="F1076">
        <v>75</v>
      </c>
      <c r="G1076" t="b">
        <v>0</v>
      </c>
      <c r="K1076" s="188" t="str">
        <f>IFERROR(_xlfn.XLOOKUP(A1076,[1]Fleet!A:A,[1]Fleet!E:E,""),"")</f>
        <v/>
      </c>
      <c r="L1076" s="188" t="s">
        <v>76</v>
      </c>
      <c r="M1076" s="188" t="s">
        <v>76</v>
      </c>
      <c r="O1076">
        <v>1170</v>
      </c>
      <c r="P1076">
        <f>_xlfn.XLOOKUP(A1076,'[1]Classic Net to delete'!D:D,'[1]Classic Net to delete'!AA:AA,0)</f>
        <v>0</v>
      </c>
    </row>
    <row r="1077" spans="1:16" x14ac:dyDescent="0.25">
      <c r="A1077" t="s">
        <v>2107</v>
      </c>
      <c r="B1077" t="s">
        <v>2108</v>
      </c>
      <c r="C1077">
        <v>6.96</v>
      </c>
      <c r="E1077" t="str">
        <f>CONCATENATE(J1077,". ",N1077)</f>
        <v xml:space="preserve">. </v>
      </c>
      <c r="F1077">
        <v>75</v>
      </c>
      <c r="G1077" t="b">
        <v>0</v>
      </c>
      <c r="K1077" s="188" t="str">
        <f>IFERROR(_xlfn.XLOOKUP(A1077,[1]Fleet!A:A,[1]Fleet!E:E,""),"")</f>
        <v/>
      </c>
      <c r="L1077" s="188" t="s">
        <v>76</v>
      </c>
      <c r="M1077" s="188" t="s">
        <v>76</v>
      </c>
      <c r="O1077">
        <v>1169</v>
      </c>
      <c r="P1077">
        <f>_xlfn.XLOOKUP(A1077,'[1]Classic Net to delete'!D:D,'[1]Classic Net to delete'!AA:AA,0)</f>
        <v>0</v>
      </c>
    </row>
    <row r="1078" spans="1:16" x14ac:dyDescent="0.25">
      <c r="A1078" t="s">
        <v>2112</v>
      </c>
      <c r="B1078" t="s">
        <v>2113</v>
      </c>
      <c r="C1078">
        <v>15.46</v>
      </c>
      <c r="E1078" t="str">
        <f>CONCATENATE(J1078,". ",N1078)</f>
        <v xml:space="preserve">. </v>
      </c>
      <c r="F1078">
        <v>75</v>
      </c>
      <c r="G1078" t="b">
        <v>0</v>
      </c>
      <c r="K1078" s="188" t="str">
        <f>IFERROR(_xlfn.XLOOKUP(A1078,[1]Fleet!A:A,[1]Fleet!E:E,""),"")</f>
        <v/>
      </c>
      <c r="L1078" s="188" t="s">
        <v>76</v>
      </c>
      <c r="M1078" s="188" t="s">
        <v>76</v>
      </c>
      <c r="O1078">
        <v>1168</v>
      </c>
      <c r="P1078">
        <f>_xlfn.XLOOKUP(A1078,'[1]Classic Net to delete'!D:D,'[1]Classic Net to delete'!AA:AA,0)</f>
        <v>0</v>
      </c>
    </row>
    <row r="1079" spans="1:16" x14ac:dyDescent="0.25">
      <c r="A1079" t="s">
        <v>2117</v>
      </c>
      <c r="B1079" t="s">
        <v>2118</v>
      </c>
      <c r="C1079">
        <v>24.98</v>
      </c>
      <c r="E1079" t="str">
        <f>CONCATENATE(J1079,". ",N1079)</f>
        <v xml:space="preserve">. </v>
      </c>
      <c r="F1079">
        <v>75</v>
      </c>
      <c r="G1079" t="b">
        <v>0</v>
      </c>
      <c r="K1079" s="188" t="str">
        <f>IFERROR(_xlfn.XLOOKUP(A1079,[1]Fleet!A:A,[1]Fleet!E:E,""),"")</f>
        <v/>
      </c>
      <c r="L1079" s="188" t="s">
        <v>76</v>
      </c>
      <c r="M1079" s="188" t="s">
        <v>76</v>
      </c>
      <c r="O1079">
        <v>1167</v>
      </c>
      <c r="P1079">
        <f>_xlfn.XLOOKUP(A1079,'[1]Classic Net to delete'!D:D,'[1]Classic Net to delete'!AA:AA,0)</f>
        <v>0</v>
      </c>
    </row>
    <row r="1080" spans="1:16" x14ac:dyDescent="0.25">
      <c r="A1080" t="s">
        <v>2119</v>
      </c>
      <c r="B1080" t="s">
        <v>2120</v>
      </c>
      <c r="C1080">
        <v>15.780000000000001</v>
      </c>
      <c r="E1080" t="str">
        <f>CONCATENATE(J1080,". ",N1080)</f>
        <v xml:space="preserve">. </v>
      </c>
      <c r="F1080">
        <v>75</v>
      </c>
      <c r="G1080" t="b">
        <v>0</v>
      </c>
      <c r="K1080" s="188" t="str">
        <f>IFERROR(_xlfn.XLOOKUP(A1080,[1]Fleet!A:A,[1]Fleet!E:E,""),"")</f>
        <v/>
      </c>
      <c r="L1080" s="188" t="s">
        <v>76</v>
      </c>
      <c r="M1080" s="188" t="s">
        <v>76</v>
      </c>
      <c r="O1080">
        <v>1166</v>
      </c>
      <c r="P1080">
        <f>_xlfn.XLOOKUP(A1080,'[1]Classic Net to delete'!D:D,'[1]Classic Net to delete'!AA:AA,0)</f>
        <v>0</v>
      </c>
    </row>
    <row r="1081" spans="1:16" x14ac:dyDescent="0.25">
      <c r="A1081" t="s">
        <v>2121</v>
      </c>
      <c r="B1081" t="s">
        <v>2122</v>
      </c>
      <c r="C1081">
        <v>12.63</v>
      </c>
      <c r="E1081" t="str">
        <f>CONCATENATE(J1081,". ",N1081)</f>
        <v xml:space="preserve">. </v>
      </c>
      <c r="F1081">
        <v>75</v>
      </c>
      <c r="G1081" t="b">
        <v>0</v>
      </c>
      <c r="K1081" s="188" t="str">
        <f>IFERROR(_xlfn.XLOOKUP(A1081,[1]Fleet!A:A,[1]Fleet!E:E,""),"")</f>
        <v/>
      </c>
      <c r="L1081" s="188" t="s">
        <v>76</v>
      </c>
      <c r="M1081" s="188" t="s">
        <v>76</v>
      </c>
      <c r="O1081">
        <v>1165</v>
      </c>
      <c r="P1081">
        <f>_xlfn.XLOOKUP(A1081,'[1]Classic Net to delete'!D:D,'[1]Classic Net to delete'!AA:AA,0)</f>
        <v>0</v>
      </c>
    </row>
    <row r="1082" spans="1:16" x14ac:dyDescent="0.25">
      <c r="A1082" t="s">
        <v>2123</v>
      </c>
      <c r="B1082" t="s">
        <v>2124</v>
      </c>
      <c r="C1082">
        <v>0</v>
      </c>
      <c r="E1082" t="str">
        <f>CONCATENATE(J1082,". ",N1082)</f>
        <v xml:space="preserve">. </v>
      </c>
      <c r="F1082">
        <v>75</v>
      </c>
      <c r="G1082" t="b">
        <v>0</v>
      </c>
      <c r="K1082" s="188" t="str">
        <f>IFERROR(_xlfn.XLOOKUP(A1082,[1]Fleet!A:A,[1]Fleet!E:E,""),"")</f>
        <v/>
      </c>
      <c r="L1082" s="188" t="s">
        <v>76</v>
      </c>
      <c r="M1082" s="188" t="s">
        <v>76</v>
      </c>
      <c r="O1082">
        <v>1164</v>
      </c>
      <c r="P1082">
        <f>_xlfn.XLOOKUP(A1082,'[1]Classic Net to delete'!D:D,'[1]Classic Net to delete'!AA:AA,0)</f>
        <v>0</v>
      </c>
    </row>
    <row r="1083" spans="1:16" x14ac:dyDescent="0.25">
      <c r="A1083" t="s">
        <v>2125</v>
      </c>
      <c r="B1083" t="s">
        <v>2126</v>
      </c>
      <c r="C1083">
        <v>17.07</v>
      </c>
      <c r="E1083" t="str">
        <f>CONCATENATE(J1083,". ",N1083)</f>
        <v xml:space="preserve">. </v>
      </c>
      <c r="F1083">
        <v>75</v>
      </c>
      <c r="G1083" t="b">
        <v>0</v>
      </c>
      <c r="K1083" s="188" t="str">
        <f>IFERROR(_xlfn.XLOOKUP(A1083,[1]Fleet!A:A,[1]Fleet!E:E,""),"")</f>
        <v/>
      </c>
      <c r="L1083" s="188" t="s">
        <v>76</v>
      </c>
      <c r="M1083" s="188" t="s">
        <v>76</v>
      </c>
      <c r="O1083">
        <v>1163</v>
      </c>
      <c r="P1083">
        <f>_xlfn.XLOOKUP(A1083,'[1]Classic Net to delete'!D:D,'[1]Classic Net to delete'!AA:AA,0)</f>
        <v>0</v>
      </c>
    </row>
    <row r="1084" spans="1:16" x14ac:dyDescent="0.25">
      <c r="A1084" t="s">
        <v>2127</v>
      </c>
      <c r="B1084" t="s">
        <v>2128</v>
      </c>
      <c r="C1084">
        <v>5.08</v>
      </c>
      <c r="E1084" t="str">
        <f>CONCATENATE(J1084,". ",N1084)</f>
        <v xml:space="preserve">. </v>
      </c>
      <c r="F1084">
        <v>75</v>
      </c>
      <c r="G1084" t="b">
        <v>0</v>
      </c>
      <c r="K1084" s="188" t="str">
        <f>IFERROR(_xlfn.XLOOKUP(A1084,[1]Fleet!A:A,[1]Fleet!E:E,""),"")</f>
        <v/>
      </c>
      <c r="L1084" s="188" t="s">
        <v>76</v>
      </c>
      <c r="M1084" s="188" t="s">
        <v>76</v>
      </c>
      <c r="O1084">
        <v>1162</v>
      </c>
      <c r="P1084">
        <f>_xlfn.XLOOKUP(A1084,'[1]Classic Net to delete'!D:D,'[1]Classic Net to delete'!AA:AA,0)</f>
        <v>0</v>
      </c>
    </row>
    <row r="1085" spans="1:16" x14ac:dyDescent="0.25">
      <c r="A1085" t="s">
        <v>2129</v>
      </c>
      <c r="B1085" t="s">
        <v>2130</v>
      </c>
      <c r="C1085">
        <v>1.93</v>
      </c>
      <c r="E1085" t="str">
        <f>CONCATENATE(J1085,". ",N1085)</f>
        <v xml:space="preserve">. </v>
      </c>
      <c r="F1085">
        <v>75</v>
      </c>
      <c r="G1085" t="b">
        <v>0</v>
      </c>
      <c r="K1085" s="188" t="str">
        <f>IFERROR(_xlfn.XLOOKUP(A1085,[1]Fleet!A:A,[1]Fleet!E:E,""),"")</f>
        <v/>
      </c>
      <c r="L1085" s="188" t="s">
        <v>76</v>
      </c>
      <c r="M1085" s="188" t="s">
        <v>76</v>
      </c>
      <c r="O1085">
        <v>1161</v>
      </c>
      <c r="P1085">
        <f>_xlfn.XLOOKUP(A1085,'[1]Classic Net to delete'!D:D,'[1]Classic Net to delete'!AA:AA,0)</f>
        <v>0</v>
      </c>
    </row>
    <row r="1086" spans="1:16" x14ac:dyDescent="0.25">
      <c r="A1086" t="s">
        <v>2131</v>
      </c>
      <c r="B1086" t="s">
        <v>2132</v>
      </c>
      <c r="C1086">
        <v>1.93</v>
      </c>
      <c r="E1086" t="str">
        <f>CONCATENATE(J1086,". ",N1086)</f>
        <v xml:space="preserve">. </v>
      </c>
      <c r="F1086">
        <v>75</v>
      </c>
      <c r="G1086" t="b">
        <v>0</v>
      </c>
      <c r="K1086" s="188" t="str">
        <f>IFERROR(_xlfn.XLOOKUP(A1086,[1]Fleet!A:A,[1]Fleet!E:E,""),"")</f>
        <v/>
      </c>
      <c r="L1086" s="188" t="s">
        <v>76</v>
      </c>
      <c r="M1086" s="188" t="s">
        <v>76</v>
      </c>
      <c r="O1086">
        <v>1160</v>
      </c>
      <c r="P1086">
        <f>_xlfn.XLOOKUP(A1086,'[1]Classic Net to delete'!D:D,'[1]Classic Net to delete'!AA:AA,0)</f>
        <v>0</v>
      </c>
    </row>
    <row r="1087" spans="1:16" x14ac:dyDescent="0.25">
      <c r="A1087" t="s">
        <v>2133</v>
      </c>
      <c r="B1087" t="s">
        <v>2134</v>
      </c>
      <c r="C1087">
        <v>1.93</v>
      </c>
      <c r="E1087" t="str">
        <f>CONCATENATE(J1087,". ",N1087)</f>
        <v xml:space="preserve">. </v>
      </c>
      <c r="F1087">
        <v>75</v>
      </c>
      <c r="G1087" t="b">
        <v>0</v>
      </c>
      <c r="K1087" s="188" t="str">
        <f>IFERROR(_xlfn.XLOOKUP(A1087,[1]Fleet!A:A,[1]Fleet!E:E,""),"")</f>
        <v/>
      </c>
      <c r="L1087" s="188" t="s">
        <v>76</v>
      </c>
      <c r="M1087" s="188" t="s">
        <v>76</v>
      </c>
      <c r="O1087">
        <v>1159</v>
      </c>
      <c r="P1087">
        <f>_xlfn.XLOOKUP(A1087,'[1]Classic Net to delete'!D:D,'[1]Classic Net to delete'!AA:AA,0)</f>
        <v>0</v>
      </c>
    </row>
    <row r="1088" spans="1:16" x14ac:dyDescent="0.25">
      <c r="A1088" t="s">
        <v>2135</v>
      </c>
      <c r="B1088" t="s">
        <v>2136</v>
      </c>
      <c r="C1088">
        <v>1.93</v>
      </c>
      <c r="E1088" t="str">
        <f>CONCATENATE(J1088,". ",N1088)</f>
        <v xml:space="preserve">. </v>
      </c>
      <c r="F1088">
        <v>75</v>
      </c>
      <c r="G1088" t="b">
        <v>0</v>
      </c>
      <c r="K1088" s="188" t="str">
        <f>IFERROR(_xlfn.XLOOKUP(A1088,[1]Fleet!A:A,[1]Fleet!E:E,""),"")</f>
        <v/>
      </c>
      <c r="L1088" s="188" t="s">
        <v>76</v>
      </c>
      <c r="M1088" s="188" t="s">
        <v>76</v>
      </c>
      <c r="O1088">
        <v>1158</v>
      </c>
      <c r="P1088">
        <f>_xlfn.XLOOKUP(A1088,'[1]Classic Net to delete'!D:D,'[1]Classic Net to delete'!AA:AA,0)</f>
        <v>0</v>
      </c>
    </row>
    <row r="1089" spans="1:16" x14ac:dyDescent="0.25">
      <c r="A1089" t="s">
        <v>2137</v>
      </c>
      <c r="B1089" t="s">
        <v>2138</v>
      </c>
      <c r="C1089">
        <v>1.93</v>
      </c>
      <c r="E1089" t="str">
        <f>CONCATENATE(J1089,". ",N1089)</f>
        <v xml:space="preserve">. </v>
      </c>
      <c r="F1089">
        <v>75</v>
      </c>
      <c r="G1089" t="b">
        <v>0</v>
      </c>
      <c r="K1089" s="188" t="str">
        <f>IFERROR(_xlfn.XLOOKUP(A1089,[1]Fleet!A:A,[1]Fleet!E:E,""),"")</f>
        <v/>
      </c>
      <c r="L1089" s="188" t="s">
        <v>76</v>
      </c>
      <c r="M1089" s="188" t="s">
        <v>76</v>
      </c>
      <c r="O1089">
        <v>1157</v>
      </c>
      <c r="P1089">
        <f>_xlfn.XLOOKUP(A1089,'[1]Classic Net to delete'!D:D,'[1]Classic Net to delete'!AA:AA,0)</f>
        <v>0</v>
      </c>
    </row>
    <row r="1090" spans="1:16" x14ac:dyDescent="0.25">
      <c r="A1090" t="s">
        <v>2139</v>
      </c>
      <c r="B1090" t="s">
        <v>2140</v>
      </c>
      <c r="C1090">
        <v>1.93</v>
      </c>
      <c r="E1090" t="str">
        <f>CONCATENATE(J1090,". ",N1090)</f>
        <v xml:space="preserve">. </v>
      </c>
      <c r="F1090">
        <v>75</v>
      </c>
      <c r="G1090" t="b">
        <v>0</v>
      </c>
      <c r="K1090" s="188" t="str">
        <f>IFERROR(_xlfn.XLOOKUP(A1090,[1]Fleet!A:A,[1]Fleet!E:E,""),"")</f>
        <v/>
      </c>
      <c r="L1090" s="188" t="s">
        <v>76</v>
      </c>
      <c r="M1090" s="188" t="s">
        <v>76</v>
      </c>
      <c r="O1090">
        <v>1156</v>
      </c>
      <c r="P1090">
        <f>_xlfn.XLOOKUP(A1090,'[1]Classic Net to delete'!D:D,'[1]Classic Net to delete'!AA:AA,0)</f>
        <v>0</v>
      </c>
    </row>
    <row r="1091" spans="1:16" x14ac:dyDescent="0.25">
      <c r="A1091" t="s">
        <v>2141</v>
      </c>
      <c r="B1091" t="s">
        <v>2142</v>
      </c>
      <c r="C1091">
        <v>1.93</v>
      </c>
      <c r="E1091" t="str">
        <f>CONCATENATE(J1091,". ",N1091)</f>
        <v xml:space="preserve">. </v>
      </c>
      <c r="F1091">
        <v>75</v>
      </c>
      <c r="G1091" t="b">
        <v>0</v>
      </c>
      <c r="K1091" s="188" t="str">
        <f>IFERROR(_xlfn.XLOOKUP(A1091,[1]Fleet!A:A,[1]Fleet!E:E,""),"")</f>
        <v/>
      </c>
      <c r="L1091" s="188" t="s">
        <v>76</v>
      </c>
      <c r="M1091" s="188" t="s">
        <v>76</v>
      </c>
      <c r="O1091">
        <v>1155</v>
      </c>
      <c r="P1091">
        <f>_xlfn.XLOOKUP(A1091,'[1]Classic Net to delete'!D:D,'[1]Classic Net to delete'!AA:AA,0)</f>
        <v>0</v>
      </c>
    </row>
    <row r="1092" spans="1:16" x14ac:dyDescent="0.25">
      <c r="A1092" t="s">
        <v>2143</v>
      </c>
      <c r="B1092" t="s">
        <v>2144</v>
      </c>
      <c r="C1092">
        <v>1.93</v>
      </c>
      <c r="E1092" t="str">
        <f>CONCATENATE(J1092,". ",N1092)</f>
        <v xml:space="preserve">. </v>
      </c>
      <c r="F1092">
        <v>75</v>
      </c>
      <c r="G1092" t="b">
        <v>0</v>
      </c>
      <c r="K1092" s="188" t="str">
        <f>IFERROR(_xlfn.XLOOKUP(A1092,[1]Fleet!A:A,[1]Fleet!E:E,""),"")</f>
        <v/>
      </c>
      <c r="L1092" s="188" t="s">
        <v>76</v>
      </c>
      <c r="M1092" s="188" t="s">
        <v>76</v>
      </c>
      <c r="O1092">
        <v>1154</v>
      </c>
      <c r="P1092">
        <f>_xlfn.XLOOKUP(A1092,'[1]Classic Net to delete'!D:D,'[1]Classic Net to delete'!AA:AA,0)</f>
        <v>0</v>
      </c>
    </row>
    <row r="1093" spans="1:16" x14ac:dyDescent="0.25">
      <c r="A1093" t="s">
        <v>2145</v>
      </c>
      <c r="B1093" t="s">
        <v>2146</v>
      </c>
      <c r="C1093">
        <v>1.93</v>
      </c>
      <c r="E1093" t="str">
        <f>CONCATENATE(J1093,". ",N1093)</f>
        <v xml:space="preserve">. </v>
      </c>
      <c r="F1093">
        <v>75</v>
      </c>
      <c r="G1093" t="b">
        <v>0</v>
      </c>
      <c r="K1093" s="188" t="str">
        <f>IFERROR(_xlfn.XLOOKUP(A1093,[1]Fleet!A:A,[1]Fleet!E:E,""),"")</f>
        <v/>
      </c>
      <c r="L1093" s="188" t="s">
        <v>76</v>
      </c>
      <c r="M1093" s="188" t="s">
        <v>76</v>
      </c>
      <c r="O1093">
        <v>1153</v>
      </c>
      <c r="P1093">
        <f>_xlfn.XLOOKUP(A1093,'[1]Classic Net to delete'!D:D,'[1]Classic Net to delete'!AA:AA,0)</f>
        <v>0</v>
      </c>
    </row>
    <row r="1094" spans="1:16" x14ac:dyDescent="0.25">
      <c r="A1094" t="s">
        <v>2147</v>
      </c>
      <c r="B1094" t="s">
        <v>2148</v>
      </c>
      <c r="C1094">
        <v>1.93</v>
      </c>
      <c r="E1094" t="str">
        <f>CONCATENATE(J1094,". ",N1094)</f>
        <v xml:space="preserve">. </v>
      </c>
      <c r="F1094">
        <v>75</v>
      </c>
      <c r="G1094" t="b">
        <v>0</v>
      </c>
      <c r="K1094" s="188" t="str">
        <f>IFERROR(_xlfn.XLOOKUP(A1094,[1]Fleet!A:A,[1]Fleet!E:E,""),"")</f>
        <v/>
      </c>
      <c r="L1094" s="188" t="s">
        <v>76</v>
      </c>
      <c r="M1094" s="188" t="s">
        <v>76</v>
      </c>
      <c r="O1094">
        <v>1152</v>
      </c>
      <c r="P1094">
        <f>_xlfn.XLOOKUP(A1094,'[1]Classic Net to delete'!D:D,'[1]Classic Net to delete'!AA:AA,0)</f>
        <v>0</v>
      </c>
    </row>
    <row r="1095" spans="1:16" x14ac:dyDescent="0.25">
      <c r="A1095" t="s">
        <v>2149</v>
      </c>
      <c r="B1095" t="s">
        <v>2150</v>
      </c>
      <c r="C1095">
        <v>1.93</v>
      </c>
      <c r="E1095" t="str">
        <f>CONCATENATE(J1095,". ",N1095)</f>
        <v xml:space="preserve">. </v>
      </c>
      <c r="F1095">
        <v>75</v>
      </c>
      <c r="G1095" t="b">
        <v>0</v>
      </c>
      <c r="K1095" s="188" t="str">
        <f>IFERROR(_xlfn.XLOOKUP(A1095,[1]Fleet!A:A,[1]Fleet!E:E,""),"")</f>
        <v/>
      </c>
      <c r="L1095" s="188" t="s">
        <v>76</v>
      </c>
      <c r="M1095" s="188" t="s">
        <v>76</v>
      </c>
      <c r="O1095">
        <v>1151</v>
      </c>
      <c r="P1095">
        <f>_xlfn.XLOOKUP(A1095,'[1]Classic Net to delete'!D:D,'[1]Classic Net to delete'!AA:AA,0)</f>
        <v>0</v>
      </c>
    </row>
    <row r="1096" spans="1:16" x14ac:dyDescent="0.25">
      <c r="A1096" t="s">
        <v>2151</v>
      </c>
      <c r="B1096" t="s">
        <v>2152</v>
      </c>
      <c r="C1096">
        <v>18.73</v>
      </c>
      <c r="E1096" t="str">
        <f>CONCATENATE(J1096,". ",N1096)</f>
        <v xml:space="preserve">. </v>
      </c>
      <c r="F1096">
        <v>75</v>
      </c>
      <c r="G1096" t="b">
        <v>0</v>
      </c>
      <c r="K1096" s="188" t="str">
        <f>IFERROR(_xlfn.XLOOKUP(A1096,[1]Fleet!A:A,[1]Fleet!E:E,""),"")</f>
        <v/>
      </c>
      <c r="L1096" s="188" t="s">
        <v>76</v>
      </c>
      <c r="M1096" s="188" t="s">
        <v>76</v>
      </c>
      <c r="O1096">
        <v>1150</v>
      </c>
      <c r="P1096">
        <f>_xlfn.XLOOKUP(A1096,'[1]Classic Net to delete'!D:D,'[1]Classic Net to delete'!AA:AA,0)</f>
        <v>0</v>
      </c>
    </row>
    <row r="1097" spans="1:16" x14ac:dyDescent="0.25">
      <c r="A1097" t="s">
        <v>2153</v>
      </c>
      <c r="B1097" t="s">
        <v>2154</v>
      </c>
      <c r="C1097">
        <v>9.9</v>
      </c>
      <c r="E1097" t="str">
        <f>CONCATENATE(J1097,". ",N1097)</f>
        <v xml:space="preserve">. </v>
      </c>
      <c r="F1097">
        <v>75</v>
      </c>
      <c r="G1097" t="b">
        <v>0</v>
      </c>
      <c r="K1097" s="188" t="str">
        <f>IFERROR(_xlfn.XLOOKUP(A1097,[1]Fleet!A:A,[1]Fleet!E:E,""),"")</f>
        <v/>
      </c>
      <c r="L1097" s="188" t="s">
        <v>76</v>
      </c>
      <c r="M1097" s="188" t="s">
        <v>76</v>
      </c>
      <c r="O1097">
        <v>1149</v>
      </c>
      <c r="P1097">
        <f>_xlfn.XLOOKUP(A1097,'[1]Classic Net to delete'!D:D,'[1]Classic Net to delete'!AA:AA,0)</f>
        <v>0</v>
      </c>
    </row>
    <row r="1098" spans="1:16" x14ac:dyDescent="0.25">
      <c r="A1098" t="s">
        <v>2155</v>
      </c>
      <c r="B1098" t="s">
        <v>2156</v>
      </c>
      <c r="C1098">
        <v>0</v>
      </c>
      <c r="E1098" t="str">
        <f>CONCATENATE(J1098,". ",N1098)</f>
        <v xml:space="preserve">. </v>
      </c>
      <c r="F1098">
        <v>75</v>
      </c>
      <c r="G1098" t="b">
        <v>0</v>
      </c>
      <c r="K1098" s="188" t="str">
        <f>IFERROR(_xlfn.XLOOKUP(A1098,[1]Fleet!A:A,[1]Fleet!E:E,""),"")</f>
        <v/>
      </c>
      <c r="L1098" s="188" t="s">
        <v>76</v>
      </c>
      <c r="M1098" s="188" t="s">
        <v>76</v>
      </c>
      <c r="O1098">
        <v>1148</v>
      </c>
      <c r="P1098">
        <f>_xlfn.XLOOKUP(A1098,'[1]Classic Net to delete'!D:D,'[1]Classic Net to delete'!AA:AA,0)</f>
        <v>0</v>
      </c>
    </row>
    <row r="1099" spans="1:16" x14ac:dyDescent="0.25">
      <c r="A1099" t="s">
        <v>2162</v>
      </c>
      <c r="B1099" t="s">
        <v>2163</v>
      </c>
      <c r="C1099">
        <v>14.23</v>
      </c>
      <c r="E1099" t="str">
        <f>CONCATENATE(J1099,". ",N1099)</f>
        <v xml:space="preserve">. </v>
      </c>
      <c r="F1099">
        <v>75</v>
      </c>
      <c r="G1099" t="b">
        <v>0</v>
      </c>
      <c r="K1099" s="188" t="str">
        <f>IFERROR(_xlfn.XLOOKUP(A1099,[1]Fleet!A:A,[1]Fleet!E:E,""),"")</f>
        <v/>
      </c>
      <c r="L1099" s="188" t="s">
        <v>76</v>
      </c>
      <c r="M1099" s="188" t="s">
        <v>76</v>
      </c>
      <c r="O1099">
        <v>1147</v>
      </c>
      <c r="P1099">
        <f>_xlfn.XLOOKUP(A1099,'[1]Classic Net to delete'!D:D,'[1]Classic Net to delete'!AA:AA,0)</f>
        <v>0</v>
      </c>
    </row>
    <row r="1100" spans="1:16" x14ac:dyDescent="0.25">
      <c r="A1100" t="s">
        <v>2173</v>
      </c>
      <c r="B1100" t="s">
        <v>2174</v>
      </c>
      <c r="C1100">
        <v>16.16</v>
      </c>
      <c r="E1100" t="str">
        <f>CONCATENATE(J1100,". ",N1100)</f>
        <v xml:space="preserve">. </v>
      </c>
      <c r="F1100">
        <v>75</v>
      </c>
      <c r="G1100" t="b">
        <v>0</v>
      </c>
      <c r="K1100" s="188" t="str">
        <f>IFERROR(_xlfn.XLOOKUP(A1100,[1]Fleet!A:A,[1]Fleet!E:E,""),"")</f>
        <v/>
      </c>
      <c r="L1100" s="188" t="s">
        <v>76</v>
      </c>
      <c r="M1100" s="188" t="s">
        <v>76</v>
      </c>
      <c r="O1100">
        <v>1146</v>
      </c>
      <c r="P1100">
        <f>_xlfn.XLOOKUP(A1100,'[1]Classic Net to delete'!D:D,'[1]Classic Net to delete'!AA:AA,0)</f>
        <v>0</v>
      </c>
    </row>
    <row r="1101" spans="1:16" x14ac:dyDescent="0.25">
      <c r="A1101" t="s">
        <v>2175</v>
      </c>
      <c r="B1101" t="s">
        <v>2176</v>
      </c>
      <c r="C1101">
        <v>21.51</v>
      </c>
      <c r="E1101" t="str">
        <f>CONCATENATE(J1101,". ",N1101)</f>
        <v xml:space="preserve">. </v>
      </c>
      <c r="F1101">
        <v>75</v>
      </c>
      <c r="G1101" t="b">
        <v>0</v>
      </c>
      <c r="K1101" s="188" t="str">
        <f>IFERROR(_xlfn.XLOOKUP(A1101,[1]Fleet!A:A,[1]Fleet!E:E,""),"")</f>
        <v/>
      </c>
      <c r="L1101" s="188" t="s">
        <v>76</v>
      </c>
      <c r="M1101" s="188" t="s">
        <v>76</v>
      </c>
      <c r="O1101">
        <v>1145</v>
      </c>
      <c r="P1101">
        <f>_xlfn.XLOOKUP(A1101,'[1]Classic Net to delete'!D:D,'[1]Classic Net to delete'!AA:AA,0)</f>
        <v>0</v>
      </c>
    </row>
    <row r="1102" spans="1:16" x14ac:dyDescent="0.25">
      <c r="A1102" t="s">
        <v>2177</v>
      </c>
      <c r="B1102" t="s">
        <v>2178</v>
      </c>
      <c r="C1102">
        <v>27.12</v>
      </c>
      <c r="E1102" t="str">
        <f>CONCATENATE(J1102,". ",N1102)</f>
        <v xml:space="preserve">. </v>
      </c>
      <c r="F1102">
        <v>75</v>
      </c>
      <c r="G1102" t="b">
        <v>0</v>
      </c>
      <c r="K1102" s="188" t="str">
        <f>IFERROR(_xlfn.XLOOKUP(A1102,[1]Fleet!A:A,[1]Fleet!E:E,""),"")</f>
        <v/>
      </c>
      <c r="L1102" s="188" t="s">
        <v>76</v>
      </c>
      <c r="M1102" s="188" t="s">
        <v>76</v>
      </c>
      <c r="O1102">
        <v>1144</v>
      </c>
      <c r="P1102">
        <f>_xlfn.XLOOKUP(A1102,'[1]Classic Net to delete'!D:D,'[1]Classic Net to delete'!AA:AA,0)</f>
        <v>0</v>
      </c>
    </row>
    <row r="1103" spans="1:16" x14ac:dyDescent="0.25">
      <c r="A1103" t="s">
        <v>2179</v>
      </c>
      <c r="B1103" t="s">
        <v>2180</v>
      </c>
      <c r="C1103">
        <v>32.53</v>
      </c>
      <c r="E1103" t="str">
        <f>CONCATENATE(J1103,". ",N1103)</f>
        <v xml:space="preserve">. </v>
      </c>
      <c r="F1103">
        <v>75</v>
      </c>
      <c r="G1103" t="b">
        <v>0</v>
      </c>
      <c r="K1103" s="188" t="str">
        <f>IFERROR(_xlfn.XLOOKUP(A1103,[1]Fleet!A:A,[1]Fleet!E:E,""),"")</f>
        <v/>
      </c>
      <c r="L1103" s="188" t="s">
        <v>76</v>
      </c>
      <c r="M1103" s="188" t="s">
        <v>76</v>
      </c>
      <c r="O1103">
        <v>1143</v>
      </c>
      <c r="P1103">
        <f>_xlfn.XLOOKUP(A1103,'[1]Classic Net to delete'!D:D,'[1]Classic Net to delete'!AA:AA,0)</f>
        <v>0</v>
      </c>
    </row>
    <row r="1104" spans="1:16" x14ac:dyDescent="0.25">
      <c r="A1104" t="s">
        <v>2181</v>
      </c>
      <c r="B1104" t="s">
        <v>2182</v>
      </c>
      <c r="C1104">
        <v>37.880000000000003</v>
      </c>
      <c r="E1104" t="str">
        <f>CONCATENATE(J1104,". ",N1104)</f>
        <v xml:space="preserve">. </v>
      </c>
      <c r="F1104">
        <v>75</v>
      </c>
      <c r="G1104" t="b">
        <v>0</v>
      </c>
      <c r="K1104" s="188" t="str">
        <f>IFERROR(_xlfn.XLOOKUP(A1104,[1]Fleet!A:A,[1]Fleet!E:E,""),"")</f>
        <v/>
      </c>
      <c r="L1104" s="188" t="s">
        <v>76</v>
      </c>
      <c r="M1104" s="188" t="s">
        <v>76</v>
      </c>
      <c r="O1104">
        <v>1142</v>
      </c>
      <c r="P1104">
        <f>_xlfn.XLOOKUP(A1104,'[1]Classic Net to delete'!D:D,'[1]Classic Net to delete'!AA:AA,0)</f>
        <v>0</v>
      </c>
    </row>
    <row r="1105" spans="1:16" x14ac:dyDescent="0.25">
      <c r="A1105" t="s">
        <v>2183</v>
      </c>
      <c r="B1105" t="s">
        <v>2184</v>
      </c>
      <c r="C1105">
        <v>18.89</v>
      </c>
      <c r="E1105" t="str">
        <f>CONCATENATE(J1105,". ",N1105)</f>
        <v xml:space="preserve">. </v>
      </c>
      <c r="F1105">
        <v>75</v>
      </c>
      <c r="G1105" t="b">
        <v>0</v>
      </c>
      <c r="K1105" s="188" t="str">
        <f>IFERROR(_xlfn.XLOOKUP(A1105,[1]Fleet!A:A,[1]Fleet!E:E,""),"")</f>
        <v/>
      </c>
      <c r="L1105" s="188" t="s">
        <v>76</v>
      </c>
      <c r="M1105" s="188" t="s">
        <v>76</v>
      </c>
      <c r="O1105">
        <v>1141</v>
      </c>
      <c r="P1105">
        <f>_xlfn.XLOOKUP(A1105,'[1]Classic Net to delete'!D:D,'[1]Classic Net to delete'!AA:AA,0)</f>
        <v>0</v>
      </c>
    </row>
    <row r="1106" spans="1:16" x14ac:dyDescent="0.25">
      <c r="A1106" t="s">
        <v>2185</v>
      </c>
      <c r="B1106" t="s">
        <v>2186</v>
      </c>
      <c r="C1106">
        <v>18.89</v>
      </c>
      <c r="E1106" t="str">
        <f>CONCATENATE(J1106,". ",N1106)</f>
        <v xml:space="preserve">. </v>
      </c>
      <c r="F1106">
        <v>75</v>
      </c>
      <c r="G1106" t="b">
        <v>0</v>
      </c>
      <c r="K1106" s="188" t="str">
        <f>IFERROR(_xlfn.XLOOKUP(A1106,[1]Fleet!A:A,[1]Fleet!E:E,""),"")</f>
        <v/>
      </c>
      <c r="L1106" s="188" t="s">
        <v>76</v>
      </c>
      <c r="M1106" s="188" t="s">
        <v>76</v>
      </c>
      <c r="O1106">
        <v>1140</v>
      </c>
      <c r="P1106">
        <f>_xlfn.XLOOKUP(A1106,'[1]Classic Net to delete'!D:D,'[1]Classic Net to delete'!AA:AA,0)</f>
        <v>0</v>
      </c>
    </row>
    <row r="1107" spans="1:16" x14ac:dyDescent="0.25">
      <c r="A1107" t="s">
        <v>2187</v>
      </c>
      <c r="B1107" t="s">
        <v>2188</v>
      </c>
      <c r="C1107">
        <v>1.77</v>
      </c>
      <c r="E1107" t="str">
        <f>CONCATENATE(J1107,". ",N1107)</f>
        <v xml:space="preserve">. </v>
      </c>
      <c r="F1107">
        <v>75</v>
      </c>
      <c r="G1107" t="b">
        <v>0</v>
      </c>
      <c r="K1107" s="188" t="str">
        <f>IFERROR(_xlfn.XLOOKUP(A1107,[1]Fleet!A:A,[1]Fleet!E:E,""),"")</f>
        <v/>
      </c>
      <c r="L1107" s="188" t="s">
        <v>76</v>
      </c>
      <c r="M1107" s="188" t="s">
        <v>76</v>
      </c>
      <c r="O1107">
        <v>1139</v>
      </c>
      <c r="P1107">
        <f>_xlfn.XLOOKUP(A1107,'[1]Classic Net to delete'!D:D,'[1]Classic Net to delete'!AA:AA,0)</f>
        <v>0</v>
      </c>
    </row>
    <row r="1108" spans="1:16" x14ac:dyDescent="0.25">
      <c r="A1108" t="s">
        <v>2189</v>
      </c>
      <c r="B1108" t="s">
        <v>2190</v>
      </c>
      <c r="C1108">
        <v>2.35</v>
      </c>
      <c r="E1108" t="str">
        <f>CONCATENATE(J1108,". ",N1108)</f>
        <v xml:space="preserve">. </v>
      </c>
      <c r="F1108">
        <v>75</v>
      </c>
      <c r="G1108" t="b">
        <v>0</v>
      </c>
      <c r="K1108" s="188" t="str">
        <f>IFERROR(_xlfn.XLOOKUP(A1108,[1]Fleet!A:A,[1]Fleet!E:E,""),"")</f>
        <v/>
      </c>
      <c r="L1108" s="188" t="s">
        <v>76</v>
      </c>
      <c r="M1108" s="188" t="s">
        <v>76</v>
      </c>
      <c r="O1108">
        <v>1138</v>
      </c>
      <c r="P1108">
        <f>_xlfn.XLOOKUP(A1108,'[1]Classic Net to delete'!D:D,'[1]Classic Net to delete'!AA:AA,0)</f>
        <v>0</v>
      </c>
    </row>
    <row r="1109" spans="1:16" x14ac:dyDescent="0.25">
      <c r="A1109" t="s">
        <v>2193</v>
      </c>
      <c r="B1109" t="s">
        <v>2194</v>
      </c>
      <c r="C1109">
        <v>3.8000000000000003</v>
      </c>
      <c r="E1109" t="str">
        <f>CONCATENATE(J1109,". ",N1109)</f>
        <v xml:space="preserve">. </v>
      </c>
      <c r="F1109">
        <v>75</v>
      </c>
      <c r="G1109" t="b">
        <v>0</v>
      </c>
      <c r="K1109" s="188" t="str">
        <f>IFERROR(_xlfn.XLOOKUP(A1109,[1]Fleet!A:A,[1]Fleet!E:E,""),"")</f>
        <v/>
      </c>
      <c r="L1109" s="188" t="s">
        <v>76</v>
      </c>
      <c r="M1109" s="188" t="s">
        <v>76</v>
      </c>
      <c r="O1109">
        <v>1137</v>
      </c>
      <c r="P1109">
        <f>_xlfn.XLOOKUP(A1109,'[1]Classic Net to delete'!D:D,'[1]Classic Net to delete'!AA:AA,0)</f>
        <v>0</v>
      </c>
    </row>
    <row r="1110" spans="1:16" x14ac:dyDescent="0.25">
      <c r="A1110" t="s">
        <v>2195</v>
      </c>
      <c r="B1110" t="s">
        <v>2196</v>
      </c>
      <c r="C1110">
        <v>3.8000000000000003</v>
      </c>
      <c r="E1110" t="str">
        <f>CONCATENATE(J1110,". ",N1110)</f>
        <v xml:space="preserve">. </v>
      </c>
      <c r="F1110">
        <v>75</v>
      </c>
      <c r="G1110" t="b">
        <v>0</v>
      </c>
      <c r="K1110" s="188" t="str">
        <f>IFERROR(_xlfn.XLOOKUP(A1110,[1]Fleet!A:A,[1]Fleet!E:E,""),"")</f>
        <v/>
      </c>
      <c r="L1110" s="188" t="s">
        <v>76</v>
      </c>
      <c r="M1110" s="188" t="s">
        <v>76</v>
      </c>
      <c r="O1110">
        <v>1136</v>
      </c>
      <c r="P1110">
        <f>_xlfn.XLOOKUP(A1110,'[1]Classic Net to delete'!D:D,'[1]Classic Net to delete'!AA:AA,0)</f>
        <v>0</v>
      </c>
    </row>
    <row r="1111" spans="1:16" x14ac:dyDescent="0.25">
      <c r="A1111" t="s">
        <v>2197</v>
      </c>
      <c r="B1111" t="s">
        <v>2198</v>
      </c>
      <c r="C1111">
        <v>3.8000000000000003</v>
      </c>
      <c r="E1111" t="str">
        <f>CONCATENATE(J1111,". ",N1111)</f>
        <v xml:space="preserve">. </v>
      </c>
      <c r="F1111">
        <v>75</v>
      </c>
      <c r="G1111" t="b">
        <v>0</v>
      </c>
      <c r="K1111" s="188" t="str">
        <f>IFERROR(_xlfn.XLOOKUP(A1111,[1]Fleet!A:A,[1]Fleet!E:E,""),"")</f>
        <v/>
      </c>
      <c r="L1111" s="188" t="s">
        <v>76</v>
      </c>
      <c r="M1111" s="188" t="s">
        <v>76</v>
      </c>
      <c r="O1111">
        <v>1135</v>
      </c>
      <c r="P1111">
        <f>_xlfn.XLOOKUP(A1111,'[1]Classic Net to delete'!D:D,'[1]Classic Net to delete'!AA:AA,0)</f>
        <v>0</v>
      </c>
    </row>
    <row r="1112" spans="1:16" x14ac:dyDescent="0.25">
      <c r="A1112" t="s">
        <v>2199</v>
      </c>
      <c r="B1112" t="s">
        <v>2200</v>
      </c>
      <c r="C1112">
        <v>3.8000000000000003</v>
      </c>
      <c r="E1112" t="str">
        <f>CONCATENATE(J1112,". ",N1112)</f>
        <v xml:space="preserve">. </v>
      </c>
      <c r="F1112">
        <v>75</v>
      </c>
      <c r="G1112" t="b">
        <v>0</v>
      </c>
      <c r="K1112" s="188" t="str">
        <f>IFERROR(_xlfn.XLOOKUP(A1112,[1]Fleet!A:A,[1]Fleet!E:E,""),"")</f>
        <v/>
      </c>
      <c r="L1112" s="188" t="s">
        <v>76</v>
      </c>
      <c r="M1112" s="188" t="s">
        <v>76</v>
      </c>
      <c r="O1112">
        <v>1134</v>
      </c>
      <c r="P1112">
        <f>_xlfn.XLOOKUP(A1112,'[1]Classic Net to delete'!D:D,'[1]Classic Net to delete'!AA:AA,0)</f>
        <v>0</v>
      </c>
    </row>
    <row r="1113" spans="1:16" x14ac:dyDescent="0.25">
      <c r="A1113" t="s">
        <v>2201</v>
      </c>
      <c r="B1113" t="s">
        <v>2202</v>
      </c>
      <c r="C1113">
        <v>3.8000000000000003</v>
      </c>
      <c r="E1113" t="str">
        <f>CONCATENATE(J1113,". ",N1113)</f>
        <v xml:space="preserve">. </v>
      </c>
      <c r="F1113">
        <v>75</v>
      </c>
      <c r="G1113" t="b">
        <v>0</v>
      </c>
      <c r="K1113" s="188" t="str">
        <f>IFERROR(_xlfn.XLOOKUP(A1113,[1]Fleet!A:A,[1]Fleet!E:E,""),"")</f>
        <v/>
      </c>
      <c r="L1113" s="188" t="s">
        <v>76</v>
      </c>
      <c r="M1113" s="188" t="s">
        <v>76</v>
      </c>
      <c r="O1113">
        <v>1133</v>
      </c>
      <c r="P1113">
        <f>_xlfn.XLOOKUP(A1113,'[1]Classic Net to delete'!D:D,'[1]Classic Net to delete'!AA:AA,0)</f>
        <v>0</v>
      </c>
    </row>
    <row r="1114" spans="1:16" x14ac:dyDescent="0.25">
      <c r="A1114" t="s">
        <v>2203</v>
      </c>
      <c r="B1114" t="s">
        <v>2204</v>
      </c>
      <c r="C1114">
        <v>3.8000000000000003</v>
      </c>
      <c r="E1114" t="str">
        <f>CONCATENATE(J1114,". ",N1114)</f>
        <v xml:space="preserve">. </v>
      </c>
      <c r="F1114">
        <v>75</v>
      </c>
      <c r="G1114" t="b">
        <v>0</v>
      </c>
      <c r="K1114" s="188" t="str">
        <f>IFERROR(_xlfn.XLOOKUP(A1114,[1]Fleet!A:A,[1]Fleet!E:E,""),"")</f>
        <v/>
      </c>
      <c r="L1114" s="188" t="s">
        <v>76</v>
      </c>
      <c r="M1114" s="188" t="s">
        <v>76</v>
      </c>
      <c r="O1114">
        <v>1132</v>
      </c>
      <c r="P1114">
        <f>_xlfn.XLOOKUP(A1114,'[1]Classic Net to delete'!D:D,'[1]Classic Net to delete'!AA:AA,0)</f>
        <v>0</v>
      </c>
    </row>
    <row r="1115" spans="1:16" x14ac:dyDescent="0.25">
      <c r="A1115" t="s">
        <v>2205</v>
      </c>
      <c r="B1115" t="s">
        <v>2206</v>
      </c>
      <c r="C1115">
        <v>3.8000000000000003</v>
      </c>
      <c r="E1115" t="str">
        <f>CONCATENATE(J1115,". ",N1115)</f>
        <v xml:space="preserve">. </v>
      </c>
      <c r="F1115">
        <v>75</v>
      </c>
      <c r="G1115" t="b">
        <v>0</v>
      </c>
      <c r="K1115" s="188" t="str">
        <f>IFERROR(_xlfn.XLOOKUP(A1115,[1]Fleet!A:A,[1]Fleet!E:E,""),"")</f>
        <v/>
      </c>
      <c r="L1115" s="188" t="s">
        <v>76</v>
      </c>
      <c r="M1115" s="188" t="s">
        <v>76</v>
      </c>
      <c r="O1115">
        <v>1131</v>
      </c>
      <c r="P1115">
        <f>_xlfn.XLOOKUP(A1115,'[1]Classic Net to delete'!D:D,'[1]Classic Net to delete'!AA:AA,0)</f>
        <v>0</v>
      </c>
    </row>
    <row r="1116" spans="1:16" x14ac:dyDescent="0.25">
      <c r="A1116" t="s">
        <v>2207</v>
      </c>
      <c r="B1116" t="s">
        <v>2208</v>
      </c>
      <c r="C1116">
        <v>3.8000000000000003</v>
      </c>
      <c r="E1116" t="str">
        <f>CONCATENATE(J1116,". ",N1116)</f>
        <v xml:space="preserve">. </v>
      </c>
      <c r="F1116">
        <v>75</v>
      </c>
      <c r="G1116" t="b">
        <v>0</v>
      </c>
      <c r="K1116" s="188" t="str">
        <f>IFERROR(_xlfn.XLOOKUP(A1116,[1]Fleet!A:A,[1]Fleet!E:E,""),"")</f>
        <v/>
      </c>
      <c r="L1116" s="188" t="s">
        <v>76</v>
      </c>
      <c r="M1116" s="188" t="s">
        <v>76</v>
      </c>
      <c r="O1116">
        <v>1130</v>
      </c>
      <c r="P1116">
        <f>_xlfn.XLOOKUP(A1116,'[1]Classic Net to delete'!D:D,'[1]Classic Net to delete'!AA:AA,0)</f>
        <v>0</v>
      </c>
    </row>
    <row r="1117" spans="1:16" x14ac:dyDescent="0.25">
      <c r="A1117" t="s">
        <v>2209</v>
      </c>
      <c r="B1117" t="s">
        <v>2210</v>
      </c>
      <c r="C1117">
        <v>3.8000000000000003</v>
      </c>
      <c r="E1117" t="str">
        <f>CONCATENATE(J1117,". ",N1117)</f>
        <v xml:space="preserve">. </v>
      </c>
      <c r="F1117">
        <v>75</v>
      </c>
      <c r="G1117" t="b">
        <v>0</v>
      </c>
      <c r="K1117" s="188" t="str">
        <f>IFERROR(_xlfn.XLOOKUP(A1117,[1]Fleet!A:A,[1]Fleet!E:E,""),"")</f>
        <v/>
      </c>
      <c r="L1117" s="188" t="s">
        <v>76</v>
      </c>
      <c r="M1117" s="188" t="s">
        <v>76</v>
      </c>
      <c r="O1117">
        <v>1129</v>
      </c>
      <c r="P1117">
        <f>_xlfn.XLOOKUP(A1117,'[1]Classic Net to delete'!D:D,'[1]Classic Net to delete'!AA:AA,0)</f>
        <v>0</v>
      </c>
    </row>
    <row r="1118" spans="1:16" x14ac:dyDescent="0.25">
      <c r="A1118" t="s">
        <v>2211</v>
      </c>
      <c r="B1118" t="s">
        <v>2212</v>
      </c>
      <c r="C1118">
        <v>3.8000000000000003</v>
      </c>
      <c r="E1118" t="str">
        <f>CONCATENATE(J1118,". ",N1118)</f>
        <v xml:space="preserve">. </v>
      </c>
      <c r="F1118">
        <v>75</v>
      </c>
      <c r="G1118" t="b">
        <v>0</v>
      </c>
      <c r="K1118" s="188" t="str">
        <f>IFERROR(_xlfn.XLOOKUP(A1118,[1]Fleet!A:A,[1]Fleet!E:E,""),"")</f>
        <v/>
      </c>
      <c r="L1118" s="188" t="s">
        <v>76</v>
      </c>
      <c r="M1118" s="188" t="s">
        <v>76</v>
      </c>
      <c r="O1118">
        <v>1128</v>
      </c>
      <c r="P1118">
        <f>_xlfn.XLOOKUP(A1118,'[1]Classic Net to delete'!D:D,'[1]Classic Net to delete'!AA:AA,0)</f>
        <v>0</v>
      </c>
    </row>
    <row r="1119" spans="1:16" x14ac:dyDescent="0.25">
      <c r="A1119" t="s">
        <v>2213</v>
      </c>
      <c r="B1119" t="s">
        <v>2214</v>
      </c>
      <c r="C1119">
        <v>3.8000000000000003</v>
      </c>
      <c r="E1119" t="str">
        <f>CONCATENATE(J1119,". ",N1119)</f>
        <v xml:space="preserve">. </v>
      </c>
      <c r="F1119">
        <v>75</v>
      </c>
      <c r="G1119" t="b">
        <v>0</v>
      </c>
      <c r="K1119" s="188" t="str">
        <f>IFERROR(_xlfn.XLOOKUP(A1119,[1]Fleet!A:A,[1]Fleet!E:E,""),"")</f>
        <v/>
      </c>
      <c r="L1119" s="188" t="s">
        <v>76</v>
      </c>
      <c r="M1119" s="188" t="s">
        <v>76</v>
      </c>
      <c r="O1119">
        <v>1127</v>
      </c>
      <c r="P1119">
        <f>_xlfn.XLOOKUP(A1119,'[1]Classic Net to delete'!D:D,'[1]Classic Net to delete'!AA:AA,0)</f>
        <v>0</v>
      </c>
    </row>
    <row r="1120" spans="1:16" x14ac:dyDescent="0.25">
      <c r="A1120" t="s">
        <v>2215</v>
      </c>
      <c r="B1120" t="s">
        <v>2216</v>
      </c>
      <c r="C1120">
        <v>3.8000000000000003</v>
      </c>
      <c r="E1120" t="str">
        <f>CONCATENATE(J1120,". ",N1120)</f>
        <v xml:space="preserve">. </v>
      </c>
      <c r="F1120">
        <v>75</v>
      </c>
      <c r="G1120" t="b">
        <v>0</v>
      </c>
      <c r="K1120" s="188" t="str">
        <f>IFERROR(_xlfn.XLOOKUP(A1120,[1]Fleet!A:A,[1]Fleet!E:E,""),"")</f>
        <v/>
      </c>
      <c r="L1120" s="188" t="s">
        <v>76</v>
      </c>
      <c r="M1120" s="188" t="s">
        <v>76</v>
      </c>
      <c r="O1120">
        <v>1126</v>
      </c>
      <c r="P1120">
        <f>_xlfn.XLOOKUP(A1120,'[1]Classic Net to delete'!D:D,'[1]Classic Net to delete'!AA:AA,0)</f>
        <v>0</v>
      </c>
    </row>
    <row r="1121" spans="1:16" x14ac:dyDescent="0.25">
      <c r="A1121" t="s">
        <v>2217</v>
      </c>
      <c r="B1121" t="s">
        <v>2218</v>
      </c>
      <c r="C1121">
        <v>3.8000000000000003</v>
      </c>
      <c r="E1121" t="str">
        <f>CONCATENATE(J1121,". ",N1121)</f>
        <v xml:space="preserve">. </v>
      </c>
      <c r="F1121">
        <v>75</v>
      </c>
      <c r="G1121" t="b">
        <v>0</v>
      </c>
      <c r="K1121" s="188" t="str">
        <f>IFERROR(_xlfn.XLOOKUP(A1121,[1]Fleet!A:A,[1]Fleet!E:E,""),"")</f>
        <v/>
      </c>
      <c r="L1121" s="188" t="s">
        <v>76</v>
      </c>
      <c r="M1121" s="188" t="s">
        <v>76</v>
      </c>
      <c r="O1121">
        <v>1125</v>
      </c>
      <c r="P1121">
        <f>_xlfn.XLOOKUP(A1121,'[1]Classic Net to delete'!D:D,'[1]Classic Net to delete'!AA:AA,0)</f>
        <v>0</v>
      </c>
    </row>
    <row r="1122" spans="1:16" x14ac:dyDescent="0.25">
      <c r="A1122" t="s">
        <v>2219</v>
      </c>
      <c r="B1122" t="s">
        <v>2220</v>
      </c>
      <c r="C1122">
        <v>3.8000000000000003</v>
      </c>
      <c r="E1122" t="str">
        <f>CONCATENATE(J1122,". ",N1122)</f>
        <v xml:space="preserve">. </v>
      </c>
      <c r="F1122">
        <v>75</v>
      </c>
      <c r="G1122" t="b">
        <v>0</v>
      </c>
      <c r="K1122" s="188" t="str">
        <f>IFERROR(_xlfn.XLOOKUP(A1122,[1]Fleet!A:A,[1]Fleet!E:E,""),"")</f>
        <v/>
      </c>
      <c r="L1122" s="188" t="s">
        <v>76</v>
      </c>
      <c r="M1122" s="188" t="s">
        <v>76</v>
      </c>
      <c r="O1122">
        <v>1124</v>
      </c>
      <c r="P1122">
        <f>_xlfn.XLOOKUP(A1122,'[1]Classic Net to delete'!D:D,'[1]Classic Net to delete'!AA:AA,0)</f>
        <v>0</v>
      </c>
    </row>
    <row r="1123" spans="1:16" x14ac:dyDescent="0.25">
      <c r="A1123" t="s">
        <v>2221</v>
      </c>
      <c r="B1123" t="s">
        <v>2222</v>
      </c>
      <c r="C1123">
        <v>3.8000000000000003</v>
      </c>
      <c r="E1123" t="str">
        <f>CONCATENATE(J1123,". ",N1123)</f>
        <v xml:space="preserve">. </v>
      </c>
      <c r="F1123">
        <v>75</v>
      </c>
      <c r="G1123" t="b">
        <v>0</v>
      </c>
      <c r="K1123" s="188" t="str">
        <f>IFERROR(_xlfn.XLOOKUP(A1123,[1]Fleet!A:A,[1]Fleet!E:E,""),"")</f>
        <v/>
      </c>
      <c r="L1123" s="188" t="s">
        <v>76</v>
      </c>
      <c r="M1123" s="188" t="s">
        <v>76</v>
      </c>
      <c r="O1123">
        <v>1123</v>
      </c>
      <c r="P1123">
        <f>_xlfn.XLOOKUP(A1123,'[1]Classic Net to delete'!D:D,'[1]Classic Net to delete'!AA:AA,0)</f>
        <v>0</v>
      </c>
    </row>
    <row r="1124" spans="1:16" x14ac:dyDescent="0.25">
      <c r="A1124" t="s">
        <v>2223</v>
      </c>
      <c r="B1124" t="s">
        <v>2224</v>
      </c>
      <c r="C1124">
        <v>3.8000000000000003</v>
      </c>
      <c r="E1124" t="str">
        <f>CONCATENATE(J1124,". ",N1124)</f>
        <v xml:space="preserve">. </v>
      </c>
      <c r="F1124">
        <v>75</v>
      </c>
      <c r="G1124" t="b">
        <v>0</v>
      </c>
      <c r="K1124" s="188" t="str">
        <f>IFERROR(_xlfn.XLOOKUP(A1124,[1]Fleet!A:A,[1]Fleet!E:E,""),"")</f>
        <v/>
      </c>
      <c r="L1124" s="188" t="s">
        <v>76</v>
      </c>
      <c r="M1124" s="188" t="s">
        <v>76</v>
      </c>
      <c r="O1124">
        <v>1122</v>
      </c>
      <c r="P1124">
        <f>_xlfn.XLOOKUP(A1124,'[1]Classic Net to delete'!D:D,'[1]Classic Net to delete'!AA:AA,0)</f>
        <v>0</v>
      </c>
    </row>
    <row r="1125" spans="1:16" x14ac:dyDescent="0.25">
      <c r="A1125" t="s">
        <v>2225</v>
      </c>
      <c r="B1125" t="s">
        <v>2226</v>
      </c>
      <c r="C1125">
        <v>3.8000000000000003</v>
      </c>
      <c r="E1125" t="str">
        <f>CONCATENATE(J1125,". ",N1125)</f>
        <v xml:space="preserve">. </v>
      </c>
      <c r="F1125">
        <v>75</v>
      </c>
      <c r="G1125" t="b">
        <v>0</v>
      </c>
      <c r="K1125" s="188" t="str">
        <f>IFERROR(_xlfn.XLOOKUP(A1125,[1]Fleet!A:A,[1]Fleet!E:E,""),"")</f>
        <v/>
      </c>
      <c r="L1125" s="188" t="s">
        <v>76</v>
      </c>
      <c r="M1125" s="188" t="s">
        <v>76</v>
      </c>
      <c r="O1125">
        <v>1121</v>
      </c>
      <c r="P1125">
        <f>_xlfn.XLOOKUP(A1125,'[1]Classic Net to delete'!D:D,'[1]Classic Net to delete'!AA:AA,0)</f>
        <v>0</v>
      </c>
    </row>
    <row r="1126" spans="1:16" x14ac:dyDescent="0.25">
      <c r="A1126" t="s">
        <v>2227</v>
      </c>
      <c r="B1126" t="s">
        <v>2228</v>
      </c>
      <c r="C1126">
        <v>3.8000000000000003</v>
      </c>
      <c r="E1126" t="str">
        <f>CONCATENATE(J1126,". ",N1126)</f>
        <v xml:space="preserve">. </v>
      </c>
      <c r="F1126">
        <v>75</v>
      </c>
      <c r="G1126" t="b">
        <v>0</v>
      </c>
      <c r="K1126" s="188" t="str">
        <f>IFERROR(_xlfn.XLOOKUP(A1126,[1]Fleet!A:A,[1]Fleet!E:E,""),"")</f>
        <v/>
      </c>
      <c r="L1126" s="188" t="s">
        <v>76</v>
      </c>
      <c r="M1126" s="188" t="s">
        <v>76</v>
      </c>
      <c r="O1126">
        <v>1120</v>
      </c>
      <c r="P1126">
        <f>_xlfn.XLOOKUP(A1126,'[1]Classic Net to delete'!D:D,'[1]Classic Net to delete'!AA:AA,0)</f>
        <v>0</v>
      </c>
    </row>
    <row r="1127" spans="1:16" x14ac:dyDescent="0.25">
      <c r="A1127" t="s">
        <v>2229</v>
      </c>
      <c r="B1127" t="s">
        <v>2230</v>
      </c>
      <c r="C1127">
        <v>3.8000000000000003</v>
      </c>
      <c r="E1127" t="str">
        <f>CONCATENATE(J1127,". ",N1127)</f>
        <v xml:space="preserve">. </v>
      </c>
      <c r="F1127">
        <v>75</v>
      </c>
      <c r="G1127" t="b">
        <v>0</v>
      </c>
      <c r="K1127" s="188" t="str">
        <f>IFERROR(_xlfn.XLOOKUP(A1127,[1]Fleet!A:A,[1]Fleet!E:E,""),"")</f>
        <v/>
      </c>
      <c r="L1127" s="188" t="s">
        <v>76</v>
      </c>
      <c r="M1127" s="188" t="s">
        <v>76</v>
      </c>
      <c r="O1127">
        <v>1119</v>
      </c>
      <c r="P1127">
        <f>_xlfn.XLOOKUP(A1127,'[1]Classic Net to delete'!D:D,'[1]Classic Net to delete'!AA:AA,0)</f>
        <v>0</v>
      </c>
    </row>
    <row r="1128" spans="1:16" x14ac:dyDescent="0.25">
      <c r="A1128" t="s">
        <v>2231</v>
      </c>
      <c r="B1128" t="s">
        <v>2232</v>
      </c>
      <c r="C1128">
        <v>3.8000000000000003</v>
      </c>
      <c r="E1128" t="str">
        <f>CONCATENATE(J1128,". ",N1128)</f>
        <v xml:space="preserve">. </v>
      </c>
      <c r="F1128">
        <v>75</v>
      </c>
      <c r="G1128" t="b">
        <v>0</v>
      </c>
      <c r="K1128" s="188" t="str">
        <f>IFERROR(_xlfn.XLOOKUP(A1128,[1]Fleet!A:A,[1]Fleet!E:E,""),"")</f>
        <v/>
      </c>
      <c r="L1128" s="188" t="s">
        <v>76</v>
      </c>
      <c r="M1128" s="188" t="s">
        <v>76</v>
      </c>
      <c r="O1128">
        <v>1118</v>
      </c>
      <c r="P1128">
        <f>_xlfn.XLOOKUP(A1128,'[1]Classic Net to delete'!D:D,'[1]Classic Net to delete'!AA:AA,0)</f>
        <v>0</v>
      </c>
    </row>
    <row r="1129" spans="1:16" x14ac:dyDescent="0.25">
      <c r="A1129" t="s">
        <v>2233</v>
      </c>
      <c r="B1129" t="s">
        <v>2234</v>
      </c>
      <c r="C1129">
        <v>3.8000000000000003</v>
      </c>
      <c r="E1129" t="str">
        <f>CONCATENATE(J1129,". ",N1129)</f>
        <v xml:space="preserve">. </v>
      </c>
      <c r="F1129">
        <v>75</v>
      </c>
      <c r="G1129" t="b">
        <v>0</v>
      </c>
      <c r="K1129" s="188" t="str">
        <f>IFERROR(_xlfn.XLOOKUP(A1129,[1]Fleet!A:A,[1]Fleet!E:E,""),"")</f>
        <v/>
      </c>
      <c r="L1129" s="188" t="s">
        <v>76</v>
      </c>
      <c r="M1129" s="188" t="s">
        <v>76</v>
      </c>
      <c r="O1129">
        <v>1117</v>
      </c>
      <c r="P1129">
        <f>_xlfn.XLOOKUP(A1129,'[1]Classic Net to delete'!D:D,'[1]Classic Net to delete'!AA:AA,0)</f>
        <v>0</v>
      </c>
    </row>
    <row r="1130" spans="1:16" x14ac:dyDescent="0.25">
      <c r="A1130" t="s">
        <v>2235</v>
      </c>
      <c r="B1130" t="s">
        <v>2236</v>
      </c>
      <c r="C1130">
        <v>0</v>
      </c>
      <c r="E1130" t="str">
        <f>CONCATENATE(J1130,". ",N1130)</f>
        <v xml:space="preserve">. </v>
      </c>
      <c r="F1130">
        <v>75</v>
      </c>
      <c r="G1130" t="b">
        <v>0</v>
      </c>
      <c r="K1130" s="188" t="str">
        <f>IFERROR(_xlfn.XLOOKUP(A1130,[1]Fleet!A:A,[1]Fleet!E:E,""),"")</f>
        <v/>
      </c>
      <c r="L1130" s="188" t="s">
        <v>76</v>
      </c>
      <c r="M1130" s="188" t="s">
        <v>76</v>
      </c>
      <c r="O1130">
        <v>1116</v>
      </c>
      <c r="P1130">
        <f>_xlfn.XLOOKUP(A1130,'[1]Classic Net to delete'!D:D,'[1]Classic Net to delete'!AA:AA,0)</f>
        <v>0</v>
      </c>
    </row>
    <row r="1131" spans="1:16" x14ac:dyDescent="0.25">
      <c r="A1131" t="s">
        <v>2250</v>
      </c>
      <c r="B1131" t="s">
        <v>2251</v>
      </c>
      <c r="C1131">
        <v>10.540000000000001</v>
      </c>
      <c r="E1131" t="str">
        <f>CONCATENATE(J1131,". ",N1131)</f>
        <v xml:space="preserve">. </v>
      </c>
      <c r="F1131">
        <v>75</v>
      </c>
      <c r="G1131" t="b">
        <v>0</v>
      </c>
      <c r="K1131" s="188" t="str">
        <f>IFERROR(_xlfn.XLOOKUP(A1131,[1]Fleet!A:A,[1]Fleet!E:E,""),"")</f>
        <v/>
      </c>
      <c r="L1131" s="188" t="s">
        <v>76</v>
      </c>
      <c r="M1131" s="188" t="s">
        <v>76</v>
      </c>
      <c r="O1131">
        <v>1115</v>
      </c>
      <c r="P1131">
        <f>_xlfn.XLOOKUP(A1131,'[1]Classic Net to delete'!D:D,'[1]Classic Net to delete'!AA:AA,0)</f>
        <v>0</v>
      </c>
    </row>
    <row r="1132" spans="1:16" x14ac:dyDescent="0.25">
      <c r="A1132" t="s">
        <v>2252</v>
      </c>
      <c r="B1132" t="s">
        <v>2253</v>
      </c>
      <c r="C1132">
        <v>10.540000000000001</v>
      </c>
      <c r="E1132" t="str">
        <f>CONCATENATE(J1132,". ",N1132)</f>
        <v xml:space="preserve">. </v>
      </c>
      <c r="F1132">
        <v>75</v>
      </c>
      <c r="G1132" t="b">
        <v>0</v>
      </c>
      <c r="K1132" s="188" t="str">
        <f>IFERROR(_xlfn.XLOOKUP(A1132,[1]Fleet!A:A,[1]Fleet!E:E,""),"")</f>
        <v/>
      </c>
      <c r="L1132" s="188" t="s">
        <v>76</v>
      </c>
      <c r="M1132" s="188" t="s">
        <v>76</v>
      </c>
      <c r="O1132">
        <v>1114</v>
      </c>
      <c r="P1132">
        <f>_xlfn.XLOOKUP(A1132,'[1]Classic Net to delete'!D:D,'[1]Classic Net to delete'!AA:AA,0)</f>
        <v>0</v>
      </c>
    </row>
    <row r="1133" spans="1:16" x14ac:dyDescent="0.25">
      <c r="A1133" t="s">
        <v>2254</v>
      </c>
      <c r="B1133" t="s">
        <v>2255</v>
      </c>
      <c r="C1133">
        <v>23.38</v>
      </c>
      <c r="E1133" t="str">
        <f>CONCATENATE(J1133,". ",N1133)</f>
        <v xml:space="preserve">. </v>
      </c>
      <c r="F1133">
        <v>75</v>
      </c>
      <c r="G1133" t="b">
        <v>0</v>
      </c>
      <c r="K1133" s="188" t="str">
        <f>IFERROR(_xlfn.XLOOKUP(A1133,[1]Fleet!A:A,[1]Fleet!E:E,""),"")</f>
        <v/>
      </c>
      <c r="L1133" s="188" t="s">
        <v>76</v>
      </c>
      <c r="M1133" s="188" t="s">
        <v>76</v>
      </c>
      <c r="O1133">
        <v>1113</v>
      </c>
      <c r="P1133">
        <f>_xlfn.XLOOKUP(A1133,'[1]Classic Net to delete'!D:D,'[1]Classic Net to delete'!AA:AA,0)</f>
        <v>0</v>
      </c>
    </row>
    <row r="1134" spans="1:16" x14ac:dyDescent="0.25">
      <c r="A1134" t="s">
        <v>2256</v>
      </c>
      <c r="B1134" t="s">
        <v>2257</v>
      </c>
      <c r="C1134">
        <v>15.780000000000001</v>
      </c>
      <c r="E1134" t="str">
        <f>CONCATENATE(J1134,". ",N1134)</f>
        <v xml:space="preserve">. </v>
      </c>
      <c r="F1134">
        <v>75</v>
      </c>
      <c r="G1134" t="b">
        <v>0</v>
      </c>
      <c r="K1134" s="188" t="str">
        <f>IFERROR(_xlfn.XLOOKUP(A1134,[1]Fleet!A:A,[1]Fleet!E:E,""),"")</f>
        <v/>
      </c>
      <c r="L1134" s="188" t="s">
        <v>76</v>
      </c>
      <c r="M1134" s="188" t="s">
        <v>76</v>
      </c>
      <c r="O1134">
        <v>1112</v>
      </c>
      <c r="P1134">
        <f>_xlfn.XLOOKUP(A1134,'[1]Classic Net to delete'!D:D,'[1]Classic Net to delete'!AA:AA,0)</f>
        <v>0</v>
      </c>
    </row>
    <row r="1135" spans="1:16" x14ac:dyDescent="0.25">
      <c r="A1135" t="s">
        <v>2258</v>
      </c>
      <c r="B1135" t="s">
        <v>2259</v>
      </c>
      <c r="C1135">
        <v>10.540000000000001</v>
      </c>
      <c r="E1135" t="str">
        <f>CONCATENATE(J1135,". ",N1135)</f>
        <v xml:space="preserve">. </v>
      </c>
      <c r="F1135">
        <v>75</v>
      </c>
      <c r="G1135" t="b">
        <v>0</v>
      </c>
      <c r="K1135" s="188" t="str">
        <f>IFERROR(_xlfn.XLOOKUP(A1135,[1]Fleet!A:A,[1]Fleet!E:E,""),"")</f>
        <v/>
      </c>
      <c r="L1135" s="188" t="s">
        <v>76</v>
      </c>
      <c r="M1135" s="188" t="s">
        <v>76</v>
      </c>
      <c r="O1135">
        <v>1111</v>
      </c>
      <c r="P1135">
        <f>_xlfn.XLOOKUP(A1135,'[1]Classic Net to delete'!D:D,'[1]Classic Net to delete'!AA:AA,0)</f>
        <v>0</v>
      </c>
    </row>
    <row r="1136" spans="1:16" x14ac:dyDescent="0.25">
      <c r="A1136" t="s">
        <v>2260</v>
      </c>
      <c r="B1136" t="s">
        <v>2261</v>
      </c>
      <c r="C1136">
        <v>0</v>
      </c>
      <c r="E1136" t="str">
        <f>CONCATENATE(J1136,". ",N1136)</f>
        <v xml:space="preserve">. </v>
      </c>
      <c r="F1136">
        <v>75</v>
      </c>
      <c r="G1136" t="b">
        <v>0</v>
      </c>
      <c r="K1136" s="188" t="str">
        <f>IFERROR(_xlfn.XLOOKUP(A1136,[1]Fleet!A:A,[1]Fleet!E:E,""),"")</f>
        <v/>
      </c>
      <c r="L1136" s="188" t="s">
        <v>76</v>
      </c>
      <c r="M1136" s="188" t="s">
        <v>76</v>
      </c>
      <c r="O1136">
        <v>1110</v>
      </c>
      <c r="P1136">
        <f>_xlfn.XLOOKUP(A1136,'[1]Classic Net to delete'!D:D,'[1]Classic Net to delete'!AA:AA,0)</f>
        <v>0</v>
      </c>
    </row>
    <row r="1137" spans="1:16" x14ac:dyDescent="0.25">
      <c r="A1137" t="s">
        <v>2262</v>
      </c>
      <c r="B1137" t="s">
        <v>2263</v>
      </c>
      <c r="C1137">
        <v>0</v>
      </c>
      <c r="E1137" t="str">
        <f>CONCATENATE(J1137,". ",N1137)</f>
        <v xml:space="preserve">. </v>
      </c>
      <c r="F1137">
        <v>75</v>
      </c>
      <c r="G1137" t="b">
        <v>0</v>
      </c>
      <c r="K1137" s="188" t="str">
        <f>IFERROR(_xlfn.XLOOKUP(A1137,[1]Fleet!A:A,[1]Fleet!E:E,""),"")</f>
        <v/>
      </c>
      <c r="L1137" s="188" t="s">
        <v>76</v>
      </c>
      <c r="M1137" s="188" t="s">
        <v>76</v>
      </c>
      <c r="O1137">
        <v>1109</v>
      </c>
      <c r="P1137">
        <f>_xlfn.XLOOKUP(A1137,'[1]Classic Net to delete'!D:D,'[1]Classic Net to delete'!AA:AA,0)</f>
        <v>0</v>
      </c>
    </row>
    <row r="1138" spans="1:16" x14ac:dyDescent="0.25">
      <c r="A1138" t="s">
        <v>2264</v>
      </c>
      <c r="B1138" t="s">
        <v>2265</v>
      </c>
      <c r="C1138">
        <v>0</v>
      </c>
      <c r="E1138" t="str">
        <f>CONCATENATE(J1138,". ",N1138)</f>
        <v xml:space="preserve">. </v>
      </c>
      <c r="F1138">
        <v>75</v>
      </c>
      <c r="G1138" t="b">
        <v>0</v>
      </c>
      <c r="K1138" s="188" t="str">
        <f>IFERROR(_xlfn.XLOOKUP(A1138,[1]Fleet!A:A,[1]Fleet!E:E,""),"")</f>
        <v/>
      </c>
      <c r="L1138" s="188" t="s">
        <v>76</v>
      </c>
      <c r="M1138" s="188" t="s">
        <v>76</v>
      </c>
      <c r="O1138">
        <v>1108</v>
      </c>
      <c r="P1138">
        <f>_xlfn.XLOOKUP(A1138,'[1]Classic Net to delete'!D:D,'[1]Classic Net to delete'!AA:AA,0)</f>
        <v>0</v>
      </c>
    </row>
    <row r="1139" spans="1:16" x14ac:dyDescent="0.25">
      <c r="A1139" t="s">
        <v>2274</v>
      </c>
      <c r="B1139" t="s">
        <v>2275</v>
      </c>
      <c r="C1139">
        <v>9.15</v>
      </c>
      <c r="E1139" t="str">
        <f>CONCATENATE(J1139,". ",N1139)</f>
        <v xml:space="preserve">. </v>
      </c>
      <c r="F1139">
        <v>75</v>
      </c>
      <c r="G1139" t="b">
        <v>0</v>
      </c>
      <c r="K1139" s="188" t="str">
        <f>IFERROR(_xlfn.XLOOKUP(A1139,[1]Fleet!A:A,[1]Fleet!E:E,""),"")</f>
        <v/>
      </c>
      <c r="L1139" s="188" t="s">
        <v>76</v>
      </c>
      <c r="M1139" s="188" t="s">
        <v>76</v>
      </c>
      <c r="O1139">
        <v>1107</v>
      </c>
      <c r="P1139">
        <f>_xlfn.XLOOKUP(A1139,'[1]Classic Net to delete'!D:D,'[1]Classic Net to delete'!AA:AA,0)</f>
        <v>0</v>
      </c>
    </row>
    <row r="1140" spans="1:16" x14ac:dyDescent="0.25">
      <c r="A1140" t="s">
        <v>2276</v>
      </c>
      <c r="B1140" t="s">
        <v>2277</v>
      </c>
      <c r="C1140">
        <v>9.15</v>
      </c>
      <c r="E1140" t="str">
        <f>CONCATENATE(J1140,". ",N1140)</f>
        <v xml:space="preserve">. </v>
      </c>
      <c r="F1140">
        <v>75</v>
      </c>
      <c r="G1140" t="b">
        <v>0</v>
      </c>
      <c r="K1140" s="188" t="str">
        <f>IFERROR(_xlfn.XLOOKUP(A1140,[1]Fleet!A:A,[1]Fleet!E:E,""),"")</f>
        <v/>
      </c>
      <c r="L1140" s="188" t="s">
        <v>76</v>
      </c>
      <c r="M1140" s="188" t="s">
        <v>76</v>
      </c>
      <c r="O1140">
        <v>1106</v>
      </c>
      <c r="P1140">
        <f>_xlfn.XLOOKUP(A1140,'[1]Classic Net to delete'!D:D,'[1]Classic Net to delete'!AA:AA,0)</f>
        <v>0</v>
      </c>
    </row>
    <row r="1141" spans="1:16" x14ac:dyDescent="0.25">
      <c r="A1141" t="s">
        <v>2278</v>
      </c>
      <c r="B1141" t="s">
        <v>2279</v>
      </c>
      <c r="C1141">
        <v>9.15</v>
      </c>
      <c r="E1141" t="str">
        <f>CONCATENATE(J1141,". ",N1141)</f>
        <v xml:space="preserve">. </v>
      </c>
      <c r="F1141">
        <v>75</v>
      </c>
      <c r="G1141" t="b">
        <v>0</v>
      </c>
      <c r="K1141" s="188" t="str">
        <f>IFERROR(_xlfn.XLOOKUP(A1141,[1]Fleet!A:A,[1]Fleet!E:E,""),"")</f>
        <v/>
      </c>
      <c r="L1141" s="188" t="s">
        <v>76</v>
      </c>
      <c r="M1141" s="188" t="s">
        <v>76</v>
      </c>
      <c r="O1141">
        <v>1105</v>
      </c>
      <c r="P1141">
        <f>_xlfn.XLOOKUP(A1141,'[1]Classic Net to delete'!D:D,'[1]Classic Net to delete'!AA:AA,0)</f>
        <v>0</v>
      </c>
    </row>
    <row r="1142" spans="1:16" x14ac:dyDescent="0.25">
      <c r="A1142" t="s">
        <v>2280</v>
      </c>
      <c r="B1142" t="s">
        <v>2281</v>
      </c>
      <c r="C1142">
        <v>9.15</v>
      </c>
      <c r="E1142" t="str">
        <f>CONCATENATE(J1142,". ",N1142)</f>
        <v xml:space="preserve">. </v>
      </c>
      <c r="F1142">
        <v>75</v>
      </c>
      <c r="G1142" t="b">
        <v>0</v>
      </c>
      <c r="K1142" s="188" t="str">
        <f>IFERROR(_xlfn.XLOOKUP(A1142,[1]Fleet!A:A,[1]Fleet!E:E,""),"")</f>
        <v/>
      </c>
      <c r="L1142" s="188" t="s">
        <v>76</v>
      </c>
      <c r="M1142" s="188" t="s">
        <v>76</v>
      </c>
      <c r="O1142">
        <v>1104</v>
      </c>
      <c r="P1142">
        <f>_xlfn.XLOOKUP(A1142,'[1]Classic Net to delete'!D:D,'[1]Classic Net to delete'!AA:AA,0)</f>
        <v>0</v>
      </c>
    </row>
    <row r="1143" spans="1:16" x14ac:dyDescent="0.25">
      <c r="A1143" t="s">
        <v>2282</v>
      </c>
      <c r="B1143" t="s">
        <v>2283</v>
      </c>
      <c r="C1143">
        <v>9.15</v>
      </c>
      <c r="E1143" t="str">
        <f>CONCATENATE(J1143,". ",N1143)</f>
        <v xml:space="preserve">. </v>
      </c>
      <c r="F1143">
        <v>75</v>
      </c>
      <c r="G1143" t="b">
        <v>0</v>
      </c>
      <c r="K1143" s="188" t="str">
        <f>IFERROR(_xlfn.XLOOKUP(A1143,[1]Fleet!A:A,[1]Fleet!E:E,""),"")</f>
        <v/>
      </c>
      <c r="L1143" s="188" t="s">
        <v>76</v>
      </c>
      <c r="M1143" s="188" t="s">
        <v>76</v>
      </c>
      <c r="O1143">
        <v>1103</v>
      </c>
      <c r="P1143">
        <f>_xlfn.XLOOKUP(A1143,'[1]Classic Net to delete'!D:D,'[1]Classic Net to delete'!AA:AA,0)</f>
        <v>0</v>
      </c>
    </row>
    <row r="1144" spans="1:16" x14ac:dyDescent="0.25">
      <c r="A1144" t="s">
        <v>2284</v>
      </c>
      <c r="B1144" t="s">
        <v>2285</v>
      </c>
      <c r="C1144">
        <v>9.15</v>
      </c>
      <c r="E1144" t="str">
        <f>CONCATENATE(J1144,". ",N1144)</f>
        <v xml:space="preserve">. </v>
      </c>
      <c r="F1144">
        <v>75</v>
      </c>
      <c r="G1144" t="b">
        <v>0</v>
      </c>
      <c r="K1144" s="188" t="str">
        <f>IFERROR(_xlfn.XLOOKUP(A1144,[1]Fleet!A:A,[1]Fleet!E:E,""),"")</f>
        <v/>
      </c>
      <c r="L1144" s="188" t="s">
        <v>76</v>
      </c>
      <c r="M1144" s="188" t="s">
        <v>76</v>
      </c>
      <c r="O1144">
        <v>1102</v>
      </c>
      <c r="P1144">
        <f>_xlfn.XLOOKUP(A1144,'[1]Classic Net to delete'!D:D,'[1]Classic Net to delete'!AA:AA,0)</f>
        <v>0</v>
      </c>
    </row>
    <row r="1145" spans="1:16" x14ac:dyDescent="0.25">
      <c r="A1145" t="s">
        <v>2289</v>
      </c>
      <c r="B1145" t="s">
        <v>2290</v>
      </c>
      <c r="C1145">
        <v>10.17</v>
      </c>
      <c r="E1145" t="str">
        <f>CONCATENATE(J1145,". ",N1145)</f>
        <v xml:space="preserve">. </v>
      </c>
      <c r="F1145">
        <v>75</v>
      </c>
      <c r="G1145" t="b">
        <v>0</v>
      </c>
      <c r="K1145" s="188" t="str">
        <f>IFERROR(_xlfn.XLOOKUP(A1145,[1]Fleet!A:A,[1]Fleet!E:E,""),"")</f>
        <v/>
      </c>
      <c r="L1145" s="188" t="s">
        <v>76</v>
      </c>
      <c r="M1145" s="188" t="s">
        <v>76</v>
      </c>
      <c r="O1145">
        <v>1101</v>
      </c>
      <c r="P1145">
        <f>_xlfn.XLOOKUP(A1145,'[1]Classic Net to delete'!D:D,'[1]Classic Net to delete'!AA:AA,0)</f>
        <v>0</v>
      </c>
    </row>
    <row r="1146" spans="1:16" x14ac:dyDescent="0.25">
      <c r="A1146" t="s">
        <v>2291</v>
      </c>
      <c r="B1146" t="s">
        <v>2292</v>
      </c>
      <c r="C1146">
        <v>10.17</v>
      </c>
      <c r="E1146" t="str">
        <f>CONCATENATE(J1146,". ",N1146)</f>
        <v xml:space="preserve">. </v>
      </c>
      <c r="F1146">
        <v>75</v>
      </c>
      <c r="G1146" t="b">
        <v>0</v>
      </c>
      <c r="K1146" s="188" t="str">
        <f>IFERROR(_xlfn.XLOOKUP(A1146,[1]Fleet!A:A,[1]Fleet!E:E,""),"")</f>
        <v/>
      </c>
      <c r="L1146" s="188" t="s">
        <v>76</v>
      </c>
      <c r="M1146" s="188" t="s">
        <v>76</v>
      </c>
      <c r="O1146">
        <v>1100</v>
      </c>
      <c r="P1146">
        <f>_xlfn.XLOOKUP(A1146,'[1]Classic Net to delete'!D:D,'[1]Classic Net to delete'!AA:AA,0)</f>
        <v>0</v>
      </c>
    </row>
    <row r="1147" spans="1:16" x14ac:dyDescent="0.25">
      <c r="A1147" t="s">
        <v>2293</v>
      </c>
      <c r="B1147" t="s">
        <v>2294</v>
      </c>
      <c r="C1147">
        <v>10.17</v>
      </c>
      <c r="E1147" t="str">
        <f>CONCATENATE(J1147,". ",N1147)</f>
        <v xml:space="preserve">. </v>
      </c>
      <c r="F1147">
        <v>75</v>
      </c>
      <c r="G1147" t="b">
        <v>0</v>
      </c>
      <c r="K1147" s="188" t="str">
        <f>IFERROR(_xlfn.XLOOKUP(A1147,[1]Fleet!A:A,[1]Fleet!E:E,""),"")</f>
        <v/>
      </c>
      <c r="L1147" s="188" t="s">
        <v>76</v>
      </c>
      <c r="M1147" s="188" t="s">
        <v>76</v>
      </c>
      <c r="O1147">
        <v>1099</v>
      </c>
      <c r="P1147">
        <f>_xlfn.XLOOKUP(A1147,'[1]Classic Net to delete'!D:D,'[1]Classic Net to delete'!AA:AA,0)</f>
        <v>0</v>
      </c>
    </row>
    <row r="1148" spans="1:16" x14ac:dyDescent="0.25">
      <c r="A1148" t="s">
        <v>2295</v>
      </c>
      <c r="B1148" t="s">
        <v>2296</v>
      </c>
      <c r="C1148">
        <v>15.46</v>
      </c>
      <c r="E1148" t="str">
        <f>CONCATENATE(J1148,". ",N1148)</f>
        <v xml:space="preserve">. </v>
      </c>
      <c r="F1148">
        <v>75</v>
      </c>
      <c r="G1148" t="b">
        <v>0</v>
      </c>
      <c r="K1148" s="188" t="str">
        <f>IFERROR(_xlfn.XLOOKUP(A1148,[1]Fleet!A:A,[1]Fleet!E:E,""),"")</f>
        <v/>
      </c>
      <c r="L1148" s="188" t="s">
        <v>76</v>
      </c>
      <c r="M1148" s="188" t="s">
        <v>76</v>
      </c>
      <c r="O1148">
        <v>1098</v>
      </c>
      <c r="P1148">
        <f>_xlfn.XLOOKUP(A1148,'[1]Classic Net to delete'!D:D,'[1]Classic Net to delete'!AA:AA,0)</f>
        <v>0</v>
      </c>
    </row>
    <row r="1149" spans="1:16" x14ac:dyDescent="0.25">
      <c r="A1149" t="s">
        <v>2297</v>
      </c>
      <c r="B1149" t="s">
        <v>2298</v>
      </c>
      <c r="C1149">
        <v>10.75</v>
      </c>
      <c r="E1149" t="str">
        <f>CONCATENATE(J1149,". ",N1149)</f>
        <v xml:space="preserve">. </v>
      </c>
      <c r="F1149">
        <v>75</v>
      </c>
      <c r="G1149" t="b">
        <v>0</v>
      </c>
      <c r="K1149" s="188" t="str">
        <f>IFERROR(_xlfn.XLOOKUP(A1149,[1]Fleet!A:A,[1]Fleet!E:E,""),"")</f>
        <v/>
      </c>
      <c r="L1149" s="188" t="s">
        <v>76</v>
      </c>
      <c r="M1149" s="188" t="s">
        <v>76</v>
      </c>
      <c r="O1149">
        <v>1097</v>
      </c>
      <c r="P1149">
        <f>_xlfn.XLOOKUP(A1149,'[1]Classic Net to delete'!D:D,'[1]Classic Net to delete'!AA:AA,0)</f>
        <v>0</v>
      </c>
    </row>
    <row r="1150" spans="1:16" x14ac:dyDescent="0.25">
      <c r="A1150" t="s">
        <v>2299</v>
      </c>
      <c r="B1150" t="s">
        <v>2300</v>
      </c>
      <c r="C1150">
        <v>10.17</v>
      </c>
      <c r="E1150" t="str">
        <f>CONCATENATE(J1150,". ",N1150)</f>
        <v xml:space="preserve">. </v>
      </c>
      <c r="F1150">
        <v>75</v>
      </c>
      <c r="G1150" t="b">
        <v>0</v>
      </c>
      <c r="K1150" s="188" t="str">
        <f>IFERROR(_xlfn.XLOOKUP(A1150,[1]Fleet!A:A,[1]Fleet!E:E,""),"")</f>
        <v/>
      </c>
      <c r="L1150" s="188" t="s">
        <v>76</v>
      </c>
      <c r="M1150" s="188" t="s">
        <v>76</v>
      </c>
      <c r="O1150">
        <v>1096</v>
      </c>
      <c r="P1150">
        <f>_xlfn.XLOOKUP(A1150,'[1]Classic Net to delete'!D:D,'[1]Classic Net to delete'!AA:AA,0)</f>
        <v>0</v>
      </c>
    </row>
    <row r="1151" spans="1:16" x14ac:dyDescent="0.25">
      <c r="A1151" t="s">
        <v>2301</v>
      </c>
      <c r="B1151" t="s">
        <v>2302</v>
      </c>
      <c r="C1151">
        <v>10.17</v>
      </c>
      <c r="E1151" t="str">
        <f>CONCATENATE(J1151,". ",N1151)</f>
        <v xml:space="preserve">. </v>
      </c>
      <c r="F1151">
        <v>75</v>
      </c>
      <c r="G1151" t="b">
        <v>0</v>
      </c>
      <c r="K1151" s="188" t="str">
        <f>IFERROR(_xlfn.XLOOKUP(A1151,[1]Fleet!A:A,[1]Fleet!E:E,""),"")</f>
        <v/>
      </c>
      <c r="L1151" s="188" t="s">
        <v>76</v>
      </c>
      <c r="M1151" s="188" t="s">
        <v>76</v>
      </c>
      <c r="O1151">
        <v>1095</v>
      </c>
      <c r="P1151">
        <f>_xlfn.XLOOKUP(A1151,'[1]Classic Net to delete'!D:D,'[1]Classic Net to delete'!AA:AA,0)</f>
        <v>0</v>
      </c>
    </row>
    <row r="1152" spans="1:16" x14ac:dyDescent="0.25">
      <c r="A1152" t="s">
        <v>2303</v>
      </c>
      <c r="B1152" t="s">
        <v>2304</v>
      </c>
      <c r="C1152">
        <v>10.17</v>
      </c>
      <c r="E1152" t="str">
        <f>CONCATENATE(J1152,". ",N1152)</f>
        <v xml:space="preserve">. </v>
      </c>
      <c r="F1152">
        <v>75</v>
      </c>
      <c r="G1152" t="b">
        <v>0</v>
      </c>
      <c r="K1152" s="188" t="str">
        <f>IFERROR(_xlfn.XLOOKUP(A1152,[1]Fleet!A:A,[1]Fleet!E:E,""),"")</f>
        <v/>
      </c>
      <c r="L1152" s="188" t="s">
        <v>76</v>
      </c>
      <c r="M1152" s="188" t="s">
        <v>76</v>
      </c>
      <c r="O1152">
        <v>1094</v>
      </c>
      <c r="P1152">
        <f>_xlfn.XLOOKUP(A1152,'[1]Classic Net to delete'!D:D,'[1]Classic Net to delete'!AA:AA,0)</f>
        <v>0</v>
      </c>
    </row>
    <row r="1153" spans="1:16" x14ac:dyDescent="0.25">
      <c r="A1153" t="s">
        <v>2305</v>
      </c>
      <c r="B1153" t="s">
        <v>2306</v>
      </c>
      <c r="C1153">
        <v>11.02</v>
      </c>
      <c r="E1153" t="str">
        <f>CONCATENATE(J1153,". ",N1153)</f>
        <v xml:space="preserve">. </v>
      </c>
      <c r="F1153">
        <v>75</v>
      </c>
      <c r="G1153" t="b">
        <v>0</v>
      </c>
      <c r="K1153" s="188" t="str">
        <f>IFERROR(_xlfn.XLOOKUP(A1153,[1]Fleet!A:A,[1]Fleet!E:E,""),"")</f>
        <v/>
      </c>
      <c r="L1153" s="188" t="s">
        <v>76</v>
      </c>
      <c r="M1153" s="188" t="s">
        <v>76</v>
      </c>
      <c r="O1153">
        <v>1093</v>
      </c>
      <c r="P1153">
        <f>_xlfn.XLOOKUP(A1153,'[1]Classic Net to delete'!D:D,'[1]Classic Net to delete'!AA:AA,0)</f>
        <v>0</v>
      </c>
    </row>
    <row r="1154" spans="1:16" x14ac:dyDescent="0.25">
      <c r="A1154" t="s">
        <v>2307</v>
      </c>
      <c r="B1154" t="s">
        <v>2308</v>
      </c>
      <c r="C1154">
        <v>22.04</v>
      </c>
      <c r="E1154" t="str">
        <f>CONCATENATE(J1154,". ",N1154)</f>
        <v xml:space="preserve">. </v>
      </c>
      <c r="F1154">
        <v>75</v>
      </c>
      <c r="G1154" t="b">
        <v>0</v>
      </c>
      <c r="K1154" s="188" t="str">
        <f>IFERROR(_xlfn.XLOOKUP(A1154,[1]Fleet!A:A,[1]Fleet!E:E,""),"")</f>
        <v/>
      </c>
      <c r="L1154" s="188" t="s">
        <v>76</v>
      </c>
      <c r="M1154" s="188" t="s">
        <v>76</v>
      </c>
      <c r="O1154">
        <v>1092</v>
      </c>
      <c r="P1154">
        <f>_xlfn.XLOOKUP(A1154,'[1]Classic Net to delete'!D:D,'[1]Classic Net to delete'!AA:AA,0)</f>
        <v>0</v>
      </c>
    </row>
    <row r="1155" spans="1:16" x14ac:dyDescent="0.25">
      <c r="A1155" t="s">
        <v>2309</v>
      </c>
      <c r="B1155" t="s">
        <v>2310</v>
      </c>
      <c r="C1155">
        <v>0</v>
      </c>
      <c r="E1155" t="str">
        <f>CONCATENATE(J1155,". ",N1155)</f>
        <v xml:space="preserve">. </v>
      </c>
      <c r="F1155">
        <v>75</v>
      </c>
      <c r="G1155" t="b">
        <v>0</v>
      </c>
      <c r="K1155" s="188" t="str">
        <f>IFERROR(_xlfn.XLOOKUP(A1155,[1]Fleet!A:A,[1]Fleet!E:E,""),"")</f>
        <v/>
      </c>
      <c r="L1155" s="188" t="s">
        <v>76</v>
      </c>
      <c r="M1155" s="188" t="s">
        <v>76</v>
      </c>
      <c r="O1155">
        <v>1091</v>
      </c>
      <c r="P1155">
        <f>_xlfn.XLOOKUP(A1155,'[1]Classic Net to delete'!D:D,'[1]Classic Net to delete'!AA:AA,0)</f>
        <v>0</v>
      </c>
    </row>
    <row r="1156" spans="1:16" x14ac:dyDescent="0.25">
      <c r="A1156" t="s">
        <v>2314</v>
      </c>
      <c r="B1156" t="s">
        <v>2315</v>
      </c>
      <c r="C1156">
        <v>18.62</v>
      </c>
      <c r="E1156" t="str">
        <f>CONCATENATE(J1156,". ",N1156)</f>
        <v xml:space="preserve">. </v>
      </c>
      <c r="F1156">
        <v>75</v>
      </c>
      <c r="G1156" t="b">
        <v>0</v>
      </c>
      <c r="K1156" s="188" t="str">
        <f>IFERROR(_xlfn.XLOOKUP(A1156,[1]Fleet!A:A,[1]Fleet!E:E,""),"")</f>
        <v/>
      </c>
      <c r="L1156" s="188" t="s">
        <v>76</v>
      </c>
      <c r="M1156" s="188" t="s">
        <v>76</v>
      </c>
      <c r="O1156">
        <v>1090</v>
      </c>
      <c r="P1156">
        <f>_xlfn.XLOOKUP(A1156,'[1]Classic Net to delete'!D:D,'[1]Classic Net to delete'!AA:AA,0)</f>
        <v>0</v>
      </c>
    </row>
    <row r="1157" spans="1:16" x14ac:dyDescent="0.25">
      <c r="A1157" t="s">
        <v>2316</v>
      </c>
      <c r="B1157" t="s">
        <v>2317</v>
      </c>
      <c r="C1157">
        <v>18.62</v>
      </c>
      <c r="E1157" t="str">
        <f>CONCATENATE(J1157,". ",N1157)</f>
        <v xml:space="preserve">. </v>
      </c>
      <c r="F1157">
        <v>75</v>
      </c>
      <c r="G1157" t="b">
        <v>0</v>
      </c>
      <c r="K1157" s="188" t="str">
        <f>IFERROR(_xlfn.XLOOKUP(A1157,[1]Fleet!A:A,[1]Fleet!E:E,""),"")</f>
        <v/>
      </c>
      <c r="L1157" s="188" t="s">
        <v>76</v>
      </c>
      <c r="M1157" s="188" t="s">
        <v>76</v>
      </c>
      <c r="O1157">
        <v>1089</v>
      </c>
      <c r="P1157">
        <f>_xlfn.XLOOKUP(A1157,'[1]Classic Net to delete'!D:D,'[1]Classic Net to delete'!AA:AA,0)</f>
        <v>0</v>
      </c>
    </row>
    <row r="1158" spans="1:16" x14ac:dyDescent="0.25">
      <c r="A1158" t="s">
        <v>2318</v>
      </c>
      <c r="B1158" t="s">
        <v>2319</v>
      </c>
      <c r="C1158">
        <v>11.34</v>
      </c>
      <c r="E1158" t="str">
        <f>CONCATENATE(J1158,". ",N1158)</f>
        <v xml:space="preserve">. </v>
      </c>
      <c r="F1158">
        <v>75</v>
      </c>
      <c r="G1158" t="b">
        <v>0</v>
      </c>
      <c r="K1158" s="188" t="str">
        <f>IFERROR(_xlfn.XLOOKUP(A1158,[1]Fleet!A:A,[1]Fleet!E:E,""),"")</f>
        <v/>
      </c>
      <c r="L1158" s="188" t="s">
        <v>76</v>
      </c>
      <c r="M1158" s="188" t="s">
        <v>76</v>
      </c>
      <c r="O1158">
        <v>1088</v>
      </c>
      <c r="P1158">
        <f>_xlfn.XLOOKUP(A1158,'[1]Classic Net to delete'!D:D,'[1]Classic Net to delete'!AA:AA,0)</f>
        <v>0</v>
      </c>
    </row>
    <row r="1159" spans="1:16" x14ac:dyDescent="0.25">
      <c r="A1159" t="s">
        <v>2320</v>
      </c>
      <c r="B1159" t="s">
        <v>2321</v>
      </c>
      <c r="C1159">
        <v>11.34</v>
      </c>
      <c r="E1159" t="str">
        <f>CONCATENATE(J1159,". ",N1159)</f>
        <v xml:space="preserve">. </v>
      </c>
      <c r="F1159">
        <v>75</v>
      </c>
      <c r="G1159" t="b">
        <v>0</v>
      </c>
      <c r="K1159" s="188" t="str">
        <f>IFERROR(_xlfn.XLOOKUP(A1159,[1]Fleet!A:A,[1]Fleet!E:E,""),"")</f>
        <v/>
      </c>
      <c r="L1159" s="188" t="s">
        <v>76</v>
      </c>
      <c r="M1159" s="188" t="s">
        <v>76</v>
      </c>
      <c r="O1159">
        <v>1087</v>
      </c>
      <c r="P1159">
        <f>_xlfn.XLOOKUP(A1159,'[1]Classic Net to delete'!D:D,'[1]Classic Net to delete'!AA:AA,0)</f>
        <v>0</v>
      </c>
    </row>
    <row r="1160" spans="1:16" x14ac:dyDescent="0.25">
      <c r="A1160" t="s">
        <v>2322</v>
      </c>
      <c r="B1160" t="s">
        <v>2323</v>
      </c>
      <c r="C1160">
        <v>11.34</v>
      </c>
      <c r="E1160" t="str">
        <f>CONCATENATE(J1160,". ",N1160)</f>
        <v xml:space="preserve">. </v>
      </c>
      <c r="F1160">
        <v>75</v>
      </c>
      <c r="G1160" t="b">
        <v>0</v>
      </c>
      <c r="K1160" s="188" t="str">
        <f>IFERROR(_xlfn.XLOOKUP(A1160,[1]Fleet!A:A,[1]Fleet!E:E,""),"")</f>
        <v/>
      </c>
      <c r="L1160" s="188" t="s">
        <v>76</v>
      </c>
      <c r="M1160" s="188" t="s">
        <v>76</v>
      </c>
      <c r="O1160">
        <v>1086</v>
      </c>
      <c r="P1160">
        <f>_xlfn.XLOOKUP(A1160,'[1]Classic Net to delete'!D:D,'[1]Classic Net to delete'!AA:AA,0)</f>
        <v>0</v>
      </c>
    </row>
    <row r="1161" spans="1:16" x14ac:dyDescent="0.25">
      <c r="A1161" t="s">
        <v>2324</v>
      </c>
      <c r="B1161" t="s">
        <v>2325</v>
      </c>
      <c r="C1161">
        <v>11.34</v>
      </c>
      <c r="E1161" t="str">
        <f>CONCATENATE(J1161,". ",N1161)</f>
        <v xml:space="preserve">. </v>
      </c>
      <c r="F1161">
        <v>75</v>
      </c>
      <c r="G1161" t="b">
        <v>0</v>
      </c>
      <c r="K1161" s="188" t="str">
        <f>IFERROR(_xlfn.XLOOKUP(A1161,[1]Fleet!A:A,[1]Fleet!E:E,""),"")</f>
        <v/>
      </c>
      <c r="L1161" s="188" t="s">
        <v>76</v>
      </c>
      <c r="M1161" s="188" t="s">
        <v>76</v>
      </c>
      <c r="O1161">
        <v>1085</v>
      </c>
      <c r="P1161">
        <f>_xlfn.XLOOKUP(A1161,'[1]Classic Net to delete'!D:D,'[1]Classic Net to delete'!AA:AA,0)</f>
        <v>0</v>
      </c>
    </row>
    <row r="1162" spans="1:16" x14ac:dyDescent="0.25">
      <c r="A1162" t="s">
        <v>2326</v>
      </c>
      <c r="B1162" t="s">
        <v>2327</v>
      </c>
      <c r="C1162">
        <v>31.51</v>
      </c>
      <c r="E1162" t="str">
        <f>CONCATENATE(J1162,". ",N1162)</f>
        <v xml:space="preserve">. </v>
      </c>
      <c r="F1162">
        <v>75</v>
      </c>
      <c r="G1162" t="b">
        <v>0</v>
      </c>
      <c r="K1162" s="188" t="str">
        <f>IFERROR(_xlfn.XLOOKUP(A1162,[1]Fleet!A:A,[1]Fleet!E:E,""),"")</f>
        <v/>
      </c>
      <c r="L1162" s="188" t="s">
        <v>76</v>
      </c>
      <c r="M1162" s="188" t="s">
        <v>76</v>
      </c>
      <c r="O1162">
        <v>1084</v>
      </c>
      <c r="P1162">
        <f>_xlfn.XLOOKUP(A1162,'[1]Classic Net to delete'!D:D,'[1]Classic Net to delete'!AA:AA,0)</f>
        <v>0</v>
      </c>
    </row>
    <row r="1163" spans="1:16" x14ac:dyDescent="0.25">
      <c r="A1163" t="s">
        <v>2335</v>
      </c>
      <c r="B1163" t="s">
        <v>2336</v>
      </c>
      <c r="C1163">
        <v>5.72</v>
      </c>
      <c r="E1163" t="str">
        <f>CONCATENATE(J1163,". ",N1163)</f>
        <v xml:space="preserve">. </v>
      </c>
      <c r="F1163">
        <v>75</v>
      </c>
      <c r="G1163" t="b">
        <v>0</v>
      </c>
      <c r="K1163" s="188" t="str">
        <f>IFERROR(_xlfn.XLOOKUP(A1163,[1]Fleet!A:A,[1]Fleet!E:E,""),"")</f>
        <v/>
      </c>
      <c r="L1163" s="188" t="s">
        <v>76</v>
      </c>
      <c r="M1163" s="188" t="s">
        <v>76</v>
      </c>
      <c r="O1163">
        <v>1083</v>
      </c>
      <c r="P1163">
        <f>_xlfn.XLOOKUP(A1163,'[1]Classic Net to delete'!D:D,'[1]Classic Net to delete'!AA:AA,0)</f>
        <v>0</v>
      </c>
    </row>
    <row r="1164" spans="1:16" x14ac:dyDescent="0.25">
      <c r="A1164" t="s">
        <v>2340</v>
      </c>
      <c r="B1164" t="s">
        <v>2341</v>
      </c>
      <c r="C1164">
        <v>14.98</v>
      </c>
      <c r="E1164" t="str">
        <f>CONCATENATE(J1164,". ",N1164)</f>
        <v xml:space="preserve">. </v>
      </c>
      <c r="F1164">
        <v>75</v>
      </c>
      <c r="G1164" t="b">
        <v>0</v>
      </c>
      <c r="K1164" s="188" t="str">
        <f>IFERROR(_xlfn.XLOOKUP(A1164,[1]Fleet!A:A,[1]Fleet!E:E,""),"")</f>
        <v/>
      </c>
      <c r="L1164" s="188" t="s">
        <v>76</v>
      </c>
      <c r="M1164" s="188" t="s">
        <v>76</v>
      </c>
      <c r="O1164">
        <v>1082</v>
      </c>
      <c r="P1164">
        <f>_xlfn.XLOOKUP(A1164,'[1]Classic Net to delete'!D:D,'[1]Classic Net to delete'!AA:AA,0)</f>
        <v>0</v>
      </c>
    </row>
    <row r="1165" spans="1:16" x14ac:dyDescent="0.25">
      <c r="A1165" t="s">
        <v>2342</v>
      </c>
      <c r="B1165" t="s">
        <v>2343</v>
      </c>
      <c r="C1165">
        <v>4.4400000000000004</v>
      </c>
      <c r="E1165" t="str">
        <f>CONCATENATE(J1165,". ",N1165)</f>
        <v xml:space="preserve">. </v>
      </c>
      <c r="F1165">
        <v>75</v>
      </c>
      <c r="G1165" t="b">
        <v>0</v>
      </c>
      <c r="K1165" s="188" t="str">
        <f>IFERROR(_xlfn.XLOOKUP(A1165,[1]Fleet!A:A,[1]Fleet!E:E,""),"")</f>
        <v/>
      </c>
      <c r="L1165" s="188" t="s">
        <v>76</v>
      </c>
      <c r="M1165" s="188" t="s">
        <v>76</v>
      </c>
      <c r="O1165">
        <v>1081</v>
      </c>
      <c r="P1165">
        <f>_xlfn.XLOOKUP(A1165,'[1]Classic Net to delete'!D:D,'[1]Classic Net to delete'!AA:AA,0)</f>
        <v>0</v>
      </c>
    </row>
    <row r="1166" spans="1:16" x14ac:dyDescent="0.25">
      <c r="A1166" t="s">
        <v>2344</v>
      </c>
      <c r="B1166" t="s">
        <v>2345</v>
      </c>
      <c r="C1166">
        <v>9.68</v>
      </c>
      <c r="E1166" t="str">
        <f>CONCATENATE(J1166,". ",N1166)</f>
        <v xml:space="preserve">. </v>
      </c>
      <c r="F1166">
        <v>75</v>
      </c>
      <c r="G1166" t="b">
        <v>0</v>
      </c>
      <c r="K1166" s="188" t="str">
        <f>IFERROR(_xlfn.XLOOKUP(A1166,[1]Fleet!A:A,[1]Fleet!E:E,""),"")</f>
        <v/>
      </c>
      <c r="L1166" s="188" t="s">
        <v>76</v>
      </c>
      <c r="M1166" s="188" t="s">
        <v>76</v>
      </c>
      <c r="O1166">
        <v>1080</v>
      </c>
      <c r="P1166">
        <f>_xlfn.XLOOKUP(A1166,'[1]Classic Net to delete'!D:D,'[1]Classic Net to delete'!AA:AA,0)</f>
        <v>0</v>
      </c>
    </row>
    <row r="1167" spans="1:16" x14ac:dyDescent="0.25">
      <c r="A1167" t="s">
        <v>2349</v>
      </c>
      <c r="B1167" t="s">
        <v>2350</v>
      </c>
      <c r="C1167">
        <v>3.8000000000000003</v>
      </c>
      <c r="E1167" t="str">
        <f>CONCATENATE(J1167,". ",N1167)</f>
        <v xml:space="preserve">. </v>
      </c>
      <c r="F1167">
        <v>75</v>
      </c>
      <c r="G1167" t="b">
        <v>0</v>
      </c>
      <c r="K1167" s="188" t="str">
        <f>IFERROR(_xlfn.XLOOKUP(A1167,[1]Fleet!A:A,[1]Fleet!E:E,""),"")</f>
        <v/>
      </c>
      <c r="L1167" s="188" t="s">
        <v>76</v>
      </c>
      <c r="M1167" s="188" t="s">
        <v>76</v>
      </c>
      <c r="O1167">
        <v>1079</v>
      </c>
      <c r="P1167">
        <f>_xlfn.XLOOKUP(A1167,'[1]Classic Net to delete'!D:D,'[1]Classic Net to delete'!AA:AA,0)</f>
        <v>0</v>
      </c>
    </row>
    <row r="1168" spans="1:16" x14ac:dyDescent="0.25">
      <c r="A1168" t="s">
        <v>2351</v>
      </c>
      <c r="B1168" t="s">
        <v>2352</v>
      </c>
      <c r="C1168">
        <v>51.15</v>
      </c>
      <c r="E1168" t="str">
        <f>CONCATENATE(J1168,". ",N1168)</f>
        <v xml:space="preserve">. </v>
      </c>
      <c r="F1168">
        <v>75</v>
      </c>
      <c r="G1168" t="b">
        <v>0</v>
      </c>
      <c r="K1168" s="188" t="str">
        <f>IFERROR(_xlfn.XLOOKUP(A1168,[1]Fleet!A:A,[1]Fleet!E:E,""),"")</f>
        <v/>
      </c>
      <c r="L1168" s="188" t="s">
        <v>76</v>
      </c>
      <c r="M1168" s="188" t="s">
        <v>76</v>
      </c>
      <c r="O1168">
        <v>1078</v>
      </c>
      <c r="P1168">
        <f>_xlfn.XLOOKUP(A1168,'[1]Classic Net to delete'!D:D,'[1]Classic Net to delete'!AA:AA,0)</f>
        <v>0</v>
      </c>
    </row>
    <row r="1169" spans="1:16" x14ac:dyDescent="0.25">
      <c r="A1169" t="s">
        <v>2353</v>
      </c>
      <c r="B1169" t="s">
        <v>2354</v>
      </c>
      <c r="C1169">
        <v>163.98</v>
      </c>
      <c r="E1169" t="str">
        <f>CONCATENATE(J1169,". ",N1169)</f>
        <v xml:space="preserve">. </v>
      </c>
      <c r="F1169">
        <v>75</v>
      </c>
      <c r="G1169" t="b">
        <v>0</v>
      </c>
      <c r="K1169" s="188" t="str">
        <f>IFERROR(_xlfn.XLOOKUP(A1169,[1]Fleet!A:A,[1]Fleet!E:E,""),"")</f>
        <v/>
      </c>
      <c r="L1169" s="188" t="s">
        <v>76</v>
      </c>
      <c r="M1169" s="188" t="s">
        <v>76</v>
      </c>
      <c r="O1169">
        <v>1077</v>
      </c>
      <c r="P1169">
        <f>_xlfn.XLOOKUP(A1169,'[1]Classic Net to delete'!D:D,'[1]Classic Net to delete'!AA:AA,0)</f>
        <v>0</v>
      </c>
    </row>
    <row r="1170" spans="1:16" x14ac:dyDescent="0.25">
      <c r="A1170" t="s">
        <v>2355</v>
      </c>
      <c r="B1170" t="s">
        <v>2356</v>
      </c>
      <c r="C1170">
        <v>21.19</v>
      </c>
      <c r="E1170" t="str">
        <f>CONCATENATE(J1170,". ",N1170)</f>
        <v xml:space="preserve">. </v>
      </c>
      <c r="F1170">
        <v>75</v>
      </c>
      <c r="G1170" t="b">
        <v>0</v>
      </c>
      <c r="K1170" s="188" t="str">
        <f>IFERROR(_xlfn.XLOOKUP(A1170,[1]Fleet!A:A,[1]Fleet!E:E,""),"")</f>
        <v/>
      </c>
      <c r="L1170" s="188" t="s">
        <v>76</v>
      </c>
      <c r="M1170" s="188" t="s">
        <v>76</v>
      </c>
      <c r="O1170">
        <v>1076</v>
      </c>
      <c r="P1170">
        <f>_xlfn.XLOOKUP(A1170,'[1]Classic Net to delete'!D:D,'[1]Classic Net to delete'!AA:AA,0)</f>
        <v>0</v>
      </c>
    </row>
    <row r="1171" spans="1:16" x14ac:dyDescent="0.25">
      <c r="A1171" t="s">
        <v>2357</v>
      </c>
      <c r="B1171" t="s">
        <v>2358</v>
      </c>
      <c r="C1171">
        <v>51.15</v>
      </c>
      <c r="E1171" t="str">
        <f>CONCATENATE(J1171,". ",N1171)</f>
        <v xml:space="preserve">. </v>
      </c>
      <c r="F1171">
        <v>75</v>
      </c>
      <c r="G1171" t="b">
        <v>0</v>
      </c>
      <c r="K1171" s="188" t="str">
        <f>IFERROR(_xlfn.XLOOKUP(A1171,[1]Fleet!A:A,[1]Fleet!E:E,""),"")</f>
        <v/>
      </c>
      <c r="L1171" s="188" t="s">
        <v>76</v>
      </c>
      <c r="M1171" s="188" t="s">
        <v>76</v>
      </c>
      <c r="O1171">
        <v>1075</v>
      </c>
      <c r="P1171">
        <f>_xlfn.XLOOKUP(A1171,'[1]Classic Net to delete'!D:D,'[1]Classic Net to delete'!AA:AA,0)</f>
        <v>0</v>
      </c>
    </row>
    <row r="1172" spans="1:16" x14ac:dyDescent="0.25">
      <c r="A1172" t="s">
        <v>2359</v>
      </c>
      <c r="B1172" t="s">
        <v>2360</v>
      </c>
      <c r="C1172">
        <v>72.600000000000009</v>
      </c>
      <c r="E1172" t="str">
        <f>CONCATENATE(J1172,". ",N1172)</f>
        <v xml:space="preserve">. </v>
      </c>
      <c r="F1172">
        <v>75</v>
      </c>
      <c r="G1172" t="b">
        <v>0</v>
      </c>
      <c r="K1172" s="188" t="str">
        <f>IFERROR(_xlfn.XLOOKUP(A1172,[1]Fleet!A:A,[1]Fleet!E:E,""),"")</f>
        <v/>
      </c>
      <c r="L1172" s="188" t="s">
        <v>76</v>
      </c>
      <c r="M1172" s="188" t="s">
        <v>76</v>
      </c>
      <c r="O1172">
        <v>1074</v>
      </c>
      <c r="P1172">
        <f>_xlfn.XLOOKUP(A1172,'[1]Classic Net to delete'!D:D,'[1]Classic Net to delete'!AA:AA,0)</f>
        <v>0</v>
      </c>
    </row>
    <row r="1173" spans="1:16" x14ac:dyDescent="0.25">
      <c r="A1173" t="s">
        <v>2361</v>
      </c>
      <c r="B1173" t="s">
        <v>2362</v>
      </c>
      <c r="C1173">
        <v>78.86</v>
      </c>
      <c r="E1173" t="str">
        <f>CONCATENATE(J1173,". ",N1173)</f>
        <v xml:space="preserve">. </v>
      </c>
      <c r="F1173">
        <v>75</v>
      </c>
      <c r="G1173" t="b">
        <v>0</v>
      </c>
      <c r="K1173" s="188" t="str">
        <f>IFERROR(_xlfn.XLOOKUP(A1173,[1]Fleet!A:A,[1]Fleet!E:E,""),"")</f>
        <v/>
      </c>
      <c r="L1173" s="188" t="s">
        <v>76</v>
      </c>
      <c r="M1173" s="188" t="s">
        <v>76</v>
      </c>
      <c r="O1173">
        <v>1073</v>
      </c>
      <c r="P1173">
        <f>_xlfn.XLOOKUP(A1173,'[1]Classic Net to delete'!D:D,'[1]Classic Net to delete'!AA:AA,0)</f>
        <v>0</v>
      </c>
    </row>
    <row r="1174" spans="1:16" x14ac:dyDescent="0.25">
      <c r="A1174" t="s">
        <v>2363</v>
      </c>
      <c r="B1174" t="s">
        <v>2364</v>
      </c>
      <c r="C1174">
        <v>0</v>
      </c>
      <c r="E1174" t="str">
        <f>CONCATENATE(J1174,". ",N1174)</f>
        <v xml:space="preserve">. </v>
      </c>
      <c r="F1174">
        <v>75</v>
      </c>
      <c r="G1174" t="b">
        <v>0</v>
      </c>
      <c r="K1174" s="188" t="str">
        <f>IFERROR(_xlfn.XLOOKUP(A1174,[1]Fleet!A:A,[1]Fleet!E:E,""),"")</f>
        <v/>
      </c>
      <c r="L1174" s="188" t="s">
        <v>76</v>
      </c>
      <c r="M1174" s="188" t="s">
        <v>76</v>
      </c>
      <c r="O1174">
        <v>1072</v>
      </c>
      <c r="P1174">
        <f>_xlfn.XLOOKUP(A1174,'[1]Classic Net to delete'!D:D,'[1]Classic Net to delete'!AA:AA,0)</f>
        <v>0</v>
      </c>
    </row>
    <row r="1175" spans="1:16" x14ac:dyDescent="0.25">
      <c r="A1175" t="s">
        <v>2368</v>
      </c>
      <c r="B1175" t="s">
        <v>2369</v>
      </c>
      <c r="C1175">
        <v>6.69</v>
      </c>
      <c r="E1175" t="str">
        <f>CONCATENATE(J1175,". ",N1175)</f>
        <v xml:space="preserve">. </v>
      </c>
      <c r="F1175">
        <v>75</v>
      </c>
      <c r="G1175" t="b">
        <v>0</v>
      </c>
      <c r="K1175" s="188" t="str">
        <f>IFERROR(_xlfn.XLOOKUP(A1175,[1]Fleet!A:A,[1]Fleet!E:E,""),"")</f>
        <v/>
      </c>
      <c r="L1175" s="188" t="s">
        <v>76</v>
      </c>
      <c r="M1175" s="188" t="s">
        <v>76</v>
      </c>
      <c r="O1175">
        <v>1071</v>
      </c>
      <c r="P1175">
        <f>_xlfn.XLOOKUP(A1175,'[1]Classic Net to delete'!D:D,'[1]Classic Net to delete'!AA:AA,0)</f>
        <v>0</v>
      </c>
    </row>
    <row r="1176" spans="1:16" x14ac:dyDescent="0.25">
      <c r="A1176" t="s">
        <v>2370</v>
      </c>
      <c r="B1176" t="s">
        <v>2371</v>
      </c>
      <c r="C1176">
        <v>6.69</v>
      </c>
      <c r="E1176" t="str">
        <f>CONCATENATE(J1176,". ",N1176)</f>
        <v xml:space="preserve">. </v>
      </c>
      <c r="F1176">
        <v>75</v>
      </c>
      <c r="G1176" t="b">
        <v>0</v>
      </c>
      <c r="K1176" s="188" t="str">
        <f>IFERROR(_xlfn.XLOOKUP(A1176,[1]Fleet!A:A,[1]Fleet!E:E,""),"")</f>
        <v/>
      </c>
      <c r="L1176" s="188" t="s">
        <v>76</v>
      </c>
      <c r="M1176" s="188" t="s">
        <v>76</v>
      </c>
      <c r="O1176">
        <v>1070</v>
      </c>
      <c r="P1176">
        <f>_xlfn.XLOOKUP(A1176,'[1]Classic Net to delete'!D:D,'[1]Classic Net to delete'!AA:AA,0)</f>
        <v>0</v>
      </c>
    </row>
    <row r="1177" spans="1:16" x14ac:dyDescent="0.25">
      <c r="A1177" t="s">
        <v>2372</v>
      </c>
      <c r="B1177" t="s">
        <v>2373</v>
      </c>
      <c r="C1177">
        <v>6.69</v>
      </c>
      <c r="E1177" t="str">
        <f>CONCATENATE(J1177,". ",N1177)</f>
        <v xml:space="preserve">. </v>
      </c>
      <c r="F1177">
        <v>75</v>
      </c>
      <c r="G1177" t="b">
        <v>0</v>
      </c>
      <c r="K1177" s="188" t="str">
        <f>IFERROR(_xlfn.XLOOKUP(A1177,[1]Fleet!A:A,[1]Fleet!E:E,""),"")</f>
        <v/>
      </c>
      <c r="L1177" s="188" t="s">
        <v>76</v>
      </c>
      <c r="M1177" s="188" t="s">
        <v>76</v>
      </c>
      <c r="O1177">
        <v>1069</v>
      </c>
      <c r="P1177">
        <f>_xlfn.XLOOKUP(A1177,'[1]Classic Net to delete'!D:D,'[1]Classic Net to delete'!AA:AA,0)</f>
        <v>0</v>
      </c>
    </row>
    <row r="1178" spans="1:16" x14ac:dyDescent="0.25">
      <c r="A1178" t="s">
        <v>2374</v>
      </c>
      <c r="B1178" t="s">
        <v>2375</v>
      </c>
      <c r="C1178">
        <v>0</v>
      </c>
      <c r="E1178" t="str">
        <f>CONCATENATE(J1178,". ",N1178)</f>
        <v xml:space="preserve">. </v>
      </c>
      <c r="F1178">
        <v>75</v>
      </c>
      <c r="G1178" t="b">
        <v>0</v>
      </c>
      <c r="K1178" s="188" t="str">
        <f>IFERROR(_xlfn.XLOOKUP(A1178,[1]Fleet!A:A,[1]Fleet!E:E,""),"")</f>
        <v/>
      </c>
      <c r="L1178" s="188" t="s">
        <v>76</v>
      </c>
      <c r="M1178" s="188" t="s">
        <v>76</v>
      </c>
      <c r="O1178">
        <v>1068</v>
      </c>
      <c r="P1178">
        <f>_xlfn.XLOOKUP(A1178,'[1]Classic Net to delete'!D:D,'[1]Classic Net to delete'!AA:AA,0)</f>
        <v>0</v>
      </c>
    </row>
    <row r="1179" spans="1:16" x14ac:dyDescent="0.25">
      <c r="A1179" t="s">
        <v>2376</v>
      </c>
      <c r="B1179" t="s">
        <v>2377</v>
      </c>
      <c r="C1179">
        <v>43.87</v>
      </c>
      <c r="E1179" t="str">
        <f>CONCATENATE(J1179,". ",N1179)</f>
        <v xml:space="preserve">. </v>
      </c>
      <c r="F1179">
        <v>75</v>
      </c>
      <c r="G1179" t="s">
        <v>76</v>
      </c>
      <c r="K1179" s="188" t="str">
        <f>IFERROR(_xlfn.XLOOKUP(A1179,[1]Fleet!A:A,[1]Fleet!E:E,""),"")</f>
        <v/>
      </c>
      <c r="L1179" s="188">
        <v>41</v>
      </c>
      <c r="M1179" s="188" t="s">
        <v>2378</v>
      </c>
      <c r="O1179">
        <v>1067</v>
      </c>
      <c r="P1179">
        <f>_xlfn.XLOOKUP(A1179,'[1]Classic Net to delete'!D:D,'[1]Classic Net to delete'!AA:AA,0)</f>
        <v>525</v>
      </c>
    </row>
    <row r="1180" spans="1:16" x14ac:dyDescent="0.25">
      <c r="A1180" t="s">
        <v>2383</v>
      </c>
      <c r="B1180" t="s">
        <v>2384</v>
      </c>
      <c r="C1180">
        <v>6.96</v>
      </c>
      <c r="E1180" t="str">
        <f>CONCATENATE(J1180,". ",N1180)</f>
        <v xml:space="preserve">. </v>
      </c>
      <c r="F1180">
        <v>75</v>
      </c>
      <c r="G1180" t="b">
        <v>0</v>
      </c>
      <c r="K1180" s="188" t="str">
        <f>IFERROR(_xlfn.XLOOKUP(A1180,[1]Fleet!A:A,[1]Fleet!E:E,""),"")</f>
        <v/>
      </c>
      <c r="L1180" s="188" t="s">
        <v>76</v>
      </c>
      <c r="M1180" s="188" t="s">
        <v>76</v>
      </c>
      <c r="O1180">
        <v>1066</v>
      </c>
      <c r="P1180">
        <f>_xlfn.XLOOKUP(A1180,'[1]Classic Net to delete'!D:D,'[1]Classic Net to delete'!AA:AA,0)</f>
        <v>0</v>
      </c>
    </row>
    <row r="1181" spans="1:16" x14ac:dyDescent="0.25">
      <c r="A1181" t="s">
        <v>2385</v>
      </c>
      <c r="B1181" t="s">
        <v>2386</v>
      </c>
      <c r="C1181">
        <v>10.75</v>
      </c>
      <c r="E1181" t="str">
        <f>CONCATENATE(J1181,". ",N1181)</f>
        <v xml:space="preserve">. </v>
      </c>
      <c r="F1181">
        <v>75</v>
      </c>
      <c r="G1181" t="b">
        <v>0</v>
      </c>
      <c r="K1181" s="188" t="str">
        <f>IFERROR(_xlfn.XLOOKUP(A1181,[1]Fleet!A:A,[1]Fleet!E:E,""),"")</f>
        <v/>
      </c>
      <c r="L1181" s="188" t="s">
        <v>76</v>
      </c>
      <c r="M1181" s="188" t="s">
        <v>76</v>
      </c>
      <c r="O1181">
        <v>1065</v>
      </c>
      <c r="P1181">
        <f>_xlfn.XLOOKUP(A1181,'[1]Classic Net to delete'!D:D,'[1]Classic Net to delete'!AA:AA,0)</f>
        <v>0</v>
      </c>
    </row>
    <row r="1182" spans="1:16" x14ac:dyDescent="0.25">
      <c r="A1182" t="s">
        <v>2387</v>
      </c>
      <c r="B1182" t="s">
        <v>2388</v>
      </c>
      <c r="C1182">
        <v>24.34</v>
      </c>
      <c r="E1182" t="str">
        <f>CONCATENATE(J1182,". ",N1182)</f>
        <v xml:space="preserve">. </v>
      </c>
      <c r="F1182">
        <v>75</v>
      </c>
      <c r="G1182" t="b">
        <v>0</v>
      </c>
      <c r="K1182" s="188" t="str">
        <f>IFERROR(_xlfn.XLOOKUP(A1182,[1]Fleet!A:A,[1]Fleet!E:E,""),"")</f>
        <v/>
      </c>
      <c r="L1182" s="188" t="s">
        <v>76</v>
      </c>
      <c r="M1182" s="188" t="s">
        <v>76</v>
      </c>
      <c r="O1182">
        <v>1064</v>
      </c>
      <c r="P1182">
        <f>_xlfn.XLOOKUP(A1182,'[1]Classic Net to delete'!D:D,'[1]Classic Net to delete'!AA:AA,0)</f>
        <v>0</v>
      </c>
    </row>
    <row r="1183" spans="1:16" x14ac:dyDescent="0.25">
      <c r="A1183" t="s">
        <v>2389</v>
      </c>
      <c r="B1183" t="s">
        <v>2390</v>
      </c>
      <c r="C1183">
        <v>24.61</v>
      </c>
      <c r="E1183" t="str">
        <f>CONCATENATE(J1183,". ",N1183)</f>
        <v xml:space="preserve">. </v>
      </c>
      <c r="F1183">
        <v>75</v>
      </c>
      <c r="G1183" t="b">
        <v>0</v>
      </c>
      <c r="K1183" s="188" t="str">
        <f>IFERROR(_xlfn.XLOOKUP(A1183,[1]Fleet!A:A,[1]Fleet!E:E,""),"")</f>
        <v/>
      </c>
      <c r="L1183" s="188" t="s">
        <v>76</v>
      </c>
      <c r="M1183" s="188" t="s">
        <v>76</v>
      </c>
      <c r="O1183">
        <v>1063</v>
      </c>
      <c r="P1183">
        <f>_xlfn.XLOOKUP(A1183,'[1]Classic Net to delete'!D:D,'[1]Classic Net to delete'!AA:AA,0)</f>
        <v>0</v>
      </c>
    </row>
    <row r="1184" spans="1:16" x14ac:dyDescent="0.25">
      <c r="A1184" t="s">
        <v>2396</v>
      </c>
      <c r="B1184" t="s">
        <v>2397</v>
      </c>
      <c r="C1184">
        <v>7.92</v>
      </c>
      <c r="E1184" t="str">
        <f>CONCATENATE(J1184,". ",N1184)</f>
        <v xml:space="preserve">. </v>
      </c>
      <c r="F1184">
        <v>75</v>
      </c>
      <c r="G1184" t="b">
        <v>0</v>
      </c>
      <c r="K1184" s="188" t="str">
        <f>IFERROR(_xlfn.XLOOKUP(A1184,[1]Fleet!A:A,[1]Fleet!E:E,""),"")</f>
        <v/>
      </c>
      <c r="L1184" s="188" t="s">
        <v>76</v>
      </c>
      <c r="M1184" s="188" t="s">
        <v>76</v>
      </c>
      <c r="O1184">
        <v>1062</v>
      </c>
      <c r="P1184">
        <f>_xlfn.XLOOKUP(A1184,'[1]Classic Net to delete'!D:D,'[1]Classic Net to delete'!AA:AA,0)</f>
        <v>0</v>
      </c>
    </row>
    <row r="1185" spans="1:16" x14ac:dyDescent="0.25">
      <c r="A1185" t="s">
        <v>2398</v>
      </c>
      <c r="B1185" t="s">
        <v>2399</v>
      </c>
      <c r="C1185">
        <v>7.92</v>
      </c>
      <c r="E1185" t="str">
        <f>CONCATENATE(J1185,". ",N1185)</f>
        <v xml:space="preserve">. </v>
      </c>
      <c r="F1185">
        <v>75</v>
      </c>
      <c r="G1185" t="b">
        <v>0</v>
      </c>
      <c r="K1185" s="188" t="str">
        <f>IFERROR(_xlfn.XLOOKUP(A1185,[1]Fleet!A:A,[1]Fleet!E:E,""),"")</f>
        <v/>
      </c>
      <c r="L1185" s="188" t="s">
        <v>76</v>
      </c>
      <c r="M1185" s="188" t="s">
        <v>76</v>
      </c>
      <c r="O1185">
        <v>1061</v>
      </c>
      <c r="P1185">
        <f>_xlfn.XLOOKUP(A1185,'[1]Classic Net to delete'!D:D,'[1]Classic Net to delete'!AA:AA,0)</f>
        <v>0</v>
      </c>
    </row>
    <row r="1186" spans="1:16" x14ac:dyDescent="0.25">
      <c r="A1186" t="s">
        <v>2400</v>
      </c>
      <c r="B1186" t="s">
        <v>2401</v>
      </c>
      <c r="C1186">
        <v>7.92</v>
      </c>
      <c r="E1186" t="str">
        <f>CONCATENATE(J1186,". ",N1186)</f>
        <v xml:space="preserve">. </v>
      </c>
      <c r="F1186">
        <v>75</v>
      </c>
      <c r="G1186" t="b">
        <v>0</v>
      </c>
      <c r="K1186" s="188" t="str">
        <f>IFERROR(_xlfn.XLOOKUP(A1186,[1]Fleet!A:A,[1]Fleet!E:E,""),"")</f>
        <v/>
      </c>
      <c r="L1186" s="188" t="s">
        <v>76</v>
      </c>
      <c r="M1186" s="188" t="s">
        <v>76</v>
      </c>
      <c r="O1186">
        <v>1060</v>
      </c>
      <c r="P1186">
        <f>_xlfn.XLOOKUP(A1186,'[1]Classic Net to delete'!D:D,'[1]Classic Net to delete'!AA:AA,0)</f>
        <v>0</v>
      </c>
    </row>
    <row r="1187" spans="1:16" x14ac:dyDescent="0.25">
      <c r="A1187" t="s">
        <v>2402</v>
      </c>
      <c r="B1187" t="s">
        <v>2403</v>
      </c>
      <c r="C1187">
        <v>7.92</v>
      </c>
      <c r="E1187" t="str">
        <f>CONCATENATE(J1187,". ",N1187)</f>
        <v xml:space="preserve">. </v>
      </c>
      <c r="F1187">
        <v>75</v>
      </c>
      <c r="G1187" t="b">
        <v>0</v>
      </c>
      <c r="K1187" s="188" t="str">
        <f>IFERROR(_xlfn.XLOOKUP(A1187,[1]Fleet!A:A,[1]Fleet!E:E,""),"")</f>
        <v/>
      </c>
      <c r="L1187" s="188" t="s">
        <v>76</v>
      </c>
      <c r="M1187" s="188" t="s">
        <v>76</v>
      </c>
      <c r="O1187">
        <v>1059</v>
      </c>
      <c r="P1187">
        <f>_xlfn.XLOOKUP(A1187,'[1]Classic Net to delete'!D:D,'[1]Classic Net to delete'!AA:AA,0)</f>
        <v>0</v>
      </c>
    </row>
    <row r="1188" spans="1:16" x14ac:dyDescent="0.25">
      <c r="A1188" t="s">
        <v>2407</v>
      </c>
      <c r="B1188" t="s">
        <v>2408</v>
      </c>
      <c r="C1188">
        <v>13.540000000000001</v>
      </c>
      <c r="E1188" t="str">
        <f>CONCATENATE(J1188,". ",N1188)</f>
        <v xml:space="preserve">. </v>
      </c>
      <c r="F1188">
        <v>75</v>
      </c>
      <c r="G1188" t="b">
        <v>0</v>
      </c>
      <c r="K1188" s="188" t="str">
        <f>IFERROR(_xlfn.XLOOKUP(A1188,[1]Fleet!A:A,[1]Fleet!E:E,""),"")</f>
        <v/>
      </c>
      <c r="L1188" s="188" t="s">
        <v>76</v>
      </c>
      <c r="M1188" s="188" t="s">
        <v>76</v>
      </c>
      <c r="O1188">
        <v>1058</v>
      </c>
      <c r="P1188">
        <f>_xlfn.XLOOKUP(A1188,'[1]Classic Net to delete'!D:D,'[1]Classic Net to delete'!AA:AA,0)</f>
        <v>0</v>
      </c>
    </row>
    <row r="1189" spans="1:16" x14ac:dyDescent="0.25">
      <c r="A1189" t="s">
        <v>2409</v>
      </c>
      <c r="B1189" t="s">
        <v>2410</v>
      </c>
      <c r="C1189">
        <v>13.540000000000001</v>
      </c>
      <c r="E1189" t="str">
        <f>CONCATENATE(J1189,". ",N1189)</f>
        <v xml:space="preserve">. </v>
      </c>
      <c r="F1189">
        <v>75</v>
      </c>
      <c r="G1189" t="b">
        <v>0</v>
      </c>
      <c r="K1189" s="188" t="str">
        <f>IFERROR(_xlfn.XLOOKUP(A1189,[1]Fleet!A:A,[1]Fleet!E:E,""),"")</f>
        <v/>
      </c>
      <c r="L1189" s="188" t="s">
        <v>76</v>
      </c>
      <c r="M1189" s="188" t="s">
        <v>76</v>
      </c>
      <c r="O1189">
        <v>1057</v>
      </c>
      <c r="P1189">
        <f>_xlfn.XLOOKUP(A1189,'[1]Classic Net to delete'!D:D,'[1]Classic Net to delete'!AA:AA,0)</f>
        <v>0</v>
      </c>
    </row>
    <row r="1190" spans="1:16" x14ac:dyDescent="0.25">
      <c r="A1190" t="s">
        <v>2411</v>
      </c>
      <c r="B1190" t="s">
        <v>2412</v>
      </c>
      <c r="C1190">
        <v>13.540000000000001</v>
      </c>
      <c r="E1190" t="str">
        <f>CONCATENATE(J1190,". ",N1190)</f>
        <v xml:space="preserve">. </v>
      </c>
      <c r="F1190">
        <v>75</v>
      </c>
      <c r="G1190" t="b">
        <v>0</v>
      </c>
      <c r="K1190" s="188" t="str">
        <f>IFERROR(_xlfn.XLOOKUP(A1190,[1]Fleet!A:A,[1]Fleet!E:E,""),"")</f>
        <v/>
      </c>
      <c r="L1190" s="188" t="s">
        <v>76</v>
      </c>
      <c r="M1190" s="188" t="s">
        <v>76</v>
      </c>
      <c r="O1190">
        <v>1056</v>
      </c>
      <c r="P1190">
        <f>_xlfn.XLOOKUP(A1190,'[1]Classic Net to delete'!D:D,'[1]Classic Net to delete'!AA:AA,0)</f>
        <v>0</v>
      </c>
    </row>
    <row r="1191" spans="1:16" x14ac:dyDescent="0.25">
      <c r="A1191" t="s">
        <v>2413</v>
      </c>
      <c r="B1191" t="s">
        <v>2414</v>
      </c>
      <c r="C1191">
        <v>13.540000000000001</v>
      </c>
      <c r="E1191" t="str">
        <f>CONCATENATE(J1191,". ",N1191)</f>
        <v xml:space="preserve">. </v>
      </c>
      <c r="F1191">
        <v>75</v>
      </c>
      <c r="G1191" t="b">
        <v>0</v>
      </c>
      <c r="K1191" s="188" t="str">
        <f>IFERROR(_xlfn.XLOOKUP(A1191,[1]Fleet!A:A,[1]Fleet!E:E,""),"")</f>
        <v/>
      </c>
      <c r="L1191" s="188" t="s">
        <v>76</v>
      </c>
      <c r="M1191" s="188" t="s">
        <v>76</v>
      </c>
      <c r="O1191">
        <v>1055</v>
      </c>
      <c r="P1191">
        <f>_xlfn.XLOOKUP(A1191,'[1]Classic Net to delete'!D:D,'[1]Classic Net to delete'!AA:AA,0)</f>
        <v>0</v>
      </c>
    </row>
    <row r="1192" spans="1:16" x14ac:dyDescent="0.25">
      <c r="A1192" t="s">
        <v>2422</v>
      </c>
      <c r="B1192" t="s">
        <v>2423</v>
      </c>
      <c r="C1192">
        <v>13.540000000000001</v>
      </c>
      <c r="E1192" t="str">
        <f>CONCATENATE(J1192,". ",N1192)</f>
        <v xml:space="preserve">. </v>
      </c>
      <c r="F1192">
        <v>75</v>
      </c>
      <c r="G1192" t="b">
        <v>0</v>
      </c>
      <c r="K1192" s="188" t="str">
        <f>IFERROR(_xlfn.XLOOKUP(A1192,[1]Fleet!A:A,[1]Fleet!E:E,""),"")</f>
        <v/>
      </c>
      <c r="L1192" s="188" t="s">
        <v>76</v>
      </c>
      <c r="M1192" s="188" t="s">
        <v>76</v>
      </c>
      <c r="O1192">
        <v>1054</v>
      </c>
      <c r="P1192">
        <f>_xlfn.XLOOKUP(A1192,'[1]Classic Net to delete'!D:D,'[1]Classic Net to delete'!AA:AA,0)</f>
        <v>0</v>
      </c>
    </row>
    <row r="1193" spans="1:16" x14ac:dyDescent="0.25">
      <c r="A1193" t="s">
        <v>2424</v>
      </c>
      <c r="B1193" t="s">
        <v>2425</v>
      </c>
      <c r="C1193">
        <v>13.540000000000001</v>
      </c>
      <c r="E1193" t="str">
        <f>CONCATENATE(J1193,". ",N1193)</f>
        <v xml:space="preserve">. </v>
      </c>
      <c r="F1193">
        <v>75</v>
      </c>
      <c r="G1193" t="b">
        <v>0</v>
      </c>
      <c r="K1193" s="188" t="str">
        <f>IFERROR(_xlfn.XLOOKUP(A1193,[1]Fleet!A:A,[1]Fleet!E:E,""),"")</f>
        <v/>
      </c>
      <c r="L1193" s="188" t="s">
        <v>76</v>
      </c>
      <c r="M1193" s="188" t="s">
        <v>76</v>
      </c>
      <c r="O1193">
        <v>1053</v>
      </c>
      <c r="P1193">
        <f>_xlfn.XLOOKUP(A1193,'[1]Classic Net to delete'!D:D,'[1]Classic Net to delete'!AA:AA,0)</f>
        <v>0</v>
      </c>
    </row>
    <row r="1194" spans="1:16" x14ac:dyDescent="0.25">
      <c r="A1194" t="s">
        <v>2428</v>
      </c>
      <c r="B1194" t="s">
        <v>2429</v>
      </c>
      <c r="C1194">
        <v>6.96</v>
      </c>
      <c r="E1194" t="str">
        <f>CONCATENATE(J1194,". ",N1194)</f>
        <v xml:space="preserve">. </v>
      </c>
      <c r="F1194">
        <v>75</v>
      </c>
      <c r="G1194" t="b">
        <v>0</v>
      </c>
      <c r="K1194" s="188" t="str">
        <f>IFERROR(_xlfn.XLOOKUP(A1194,[1]Fleet!A:A,[1]Fleet!E:E,""),"")</f>
        <v/>
      </c>
      <c r="L1194" s="188" t="s">
        <v>76</v>
      </c>
      <c r="M1194" s="188" t="s">
        <v>76</v>
      </c>
      <c r="O1194">
        <v>1052</v>
      </c>
      <c r="P1194">
        <f>_xlfn.XLOOKUP(A1194,'[1]Classic Net to delete'!D:D,'[1]Classic Net to delete'!AA:AA,0)</f>
        <v>0</v>
      </c>
    </row>
    <row r="1195" spans="1:16" x14ac:dyDescent="0.25">
      <c r="A1195" t="s">
        <v>2433</v>
      </c>
      <c r="B1195" t="s">
        <v>2434</v>
      </c>
      <c r="C1195">
        <v>4.4400000000000004</v>
      </c>
      <c r="E1195" t="str">
        <f>CONCATENATE(J1195,". ",N1195)</f>
        <v xml:space="preserve">. </v>
      </c>
      <c r="F1195">
        <v>75</v>
      </c>
      <c r="G1195" t="b">
        <v>0</v>
      </c>
      <c r="K1195" s="188" t="str">
        <f>IFERROR(_xlfn.XLOOKUP(A1195,[1]Fleet!A:A,[1]Fleet!E:E,""),"")</f>
        <v/>
      </c>
      <c r="L1195" s="188" t="s">
        <v>76</v>
      </c>
      <c r="M1195" s="188" t="s">
        <v>76</v>
      </c>
      <c r="O1195">
        <v>1051</v>
      </c>
      <c r="P1195">
        <f>_xlfn.XLOOKUP(A1195,'[1]Classic Net to delete'!D:D,'[1]Classic Net to delete'!AA:AA,0)</f>
        <v>0</v>
      </c>
    </row>
    <row r="1196" spans="1:16" x14ac:dyDescent="0.25">
      <c r="A1196" t="s">
        <v>2435</v>
      </c>
      <c r="B1196" t="s">
        <v>2436</v>
      </c>
      <c r="C1196">
        <v>4.4400000000000004</v>
      </c>
      <c r="E1196" t="str">
        <f>CONCATENATE(J1196,". ",N1196)</f>
        <v xml:space="preserve">. </v>
      </c>
      <c r="F1196">
        <v>75</v>
      </c>
      <c r="G1196" t="b">
        <v>0</v>
      </c>
      <c r="K1196" s="188" t="str">
        <f>IFERROR(_xlfn.XLOOKUP(A1196,[1]Fleet!A:A,[1]Fleet!E:E,""),"")</f>
        <v/>
      </c>
      <c r="L1196" s="188" t="s">
        <v>76</v>
      </c>
      <c r="M1196" s="188" t="s">
        <v>76</v>
      </c>
      <c r="O1196">
        <v>1050</v>
      </c>
      <c r="P1196">
        <f>_xlfn.XLOOKUP(A1196,'[1]Classic Net to delete'!D:D,'[1]Classic Net to delete'!AA:AA,0)</f>
        <v>0</v>
      </c>
    </row>
    <row r="1197" spans="1:16" x14ac:dyDescent="0.25">
      <c r="A1197" t="s">
        <v>2437</v>
      </c>
      <c r="B1197" t="s">
        <v>2438</v>
      </c>
      <c r="C1197">
        <v>4.4400000000000004</v>
      </c>
      <c r="E1197" t="str">
        <f>CONCATENATE(J1197,". ",N1197)</f>
        <v xml:space="preserve">. </v>
      </c>
      <c r="F1197">
        <v>75</v>
      </c>
      <c r="G1197" t="b">
        <v>0</v>
      </c>
      <c r="K1197" s="188" t="str">
        <f>IFERROR(_xlfn.XLOOKUP(A1197,[1]Fleet!A:A,[1]Fleet!E:E,""),"")</f>
        <v/>
      </c>
      <c r="L1197" s="188" t="s">
        <v>76</v>
      </c>
      <c r="M1197" s="188" t="s">
        <v>76</v>
      </c>
      <c r="O1197">
        <v>1049</v>
      </c>
      <c r="P1197">
        <f>_xlfn.XLOOKUP(A1197,'[1]Classic Net to delete'!D:D,'[1]Classic Net to delete'!AA:AA,0)</f>
        <v>0</v>
      </c>
    </row>
    <row r="1198" spans="1:16" x14ac:dyDescent="0.25">
      <c r="A1198" t="s">
        <v>2445</v>
      </c>
      <c r="B1198" t="s">
        <v>2446</v>
      </c>
      <c r="C1198">
        <v>0</v>
      </c>
      <c r="E1198" t="str">
        <f>CONCATENATE(J1198,". ",N1198)</f>
        <v xml:space="preserve">. </v>
      </c>
      <c r="F1198">
        <v>75</v>
      </c>
      <c r="G1198" t="b">
        <v>0</v>
      </c>
      <c r="K1198" s="188" t="str">
        <f>IFERROR(_xlfn.XLOOKUP(A1198,[1]Fleet!A:A,[1]Fleet!E:E,""),"")</f>
        <v/>
      </c>
      <c r="L1198" s="188" t="s">
        <v>76</v>
      </c>
      <c r="M1198" s="188" t="s">
        <v>76</v>
      </c>
      <c r="O1198">
        <v>1048</v>
      </c>
      <c r="P1198">
        <f>_xlfn.XLOOKUP(A1198,'[1]Classic Net to delete'!D:D,'[1]Classic Net to delete'!AA:AA,0)</f>
        <v>0</v>
      </c>
    </row>
    <row r="1199" spans="1:16" x14ac:dyDescent="0.25">
      <c r="A1199" t="s">
        <v>2455</v>
      </c>
      <c r="B1199" t="s">
        <v>2456</v>
      </c>
      <c r="C1199">
        <v>52.75</v>
      </c>
      <c r="E1199" t="str">
        <f>CONCATENATE(J1199,". ",N1199)</f>
        <v xml:space="preserve">. </v>
      </c>
      <c r="F1199">
        <v>75</v>
      </c>
      <c r="G1199" t="b">
        <v>0</v>
      </c>
      <c r="K1199" s="188" t="str">
        <f>IFERROR(_xlfn.XLOOKUP(A1199,[1]Fleet!A:A,[1]Fleet!E:E,""),"")</f>
        <v/>
      </c>
      <c r="L1199" s="188" t="s">
        <v>76</v>
      </c>
      <c r="M1199" s="188" t="s">
        <v>76</v>
      </c>
      <c r="O1199">
        <v>1047</v>
      </c>
      <c r="P1199">
        <f>_xlfn.XLOOKUP(A1199,'[1]Classic Net to delete'!D:D,'[1]Classic Net to delete'!AA:AA,0)</f>
        <v>0</v>
      </c>
    </row>
    <row r="1200" spans="1:16" x14ac:dyDescent="0.25">
      <c r="A1200" t="s">
        <v>2457</v>
      </c>
      <c r="B1200" t="s">
        <v>2458</v>
      </c>
      <c r="C1200">
        <v>10.75</v>
      </c>
      <c r="E1200" t="str">
        <f>CONCATENATE(J1200,". ",N1200)</f>
        <v xml:space="preserve">. </v>
      </c>
      <c r="F1200">
        <v>75</v>
      </c>
      <c r="G1200" t="b">
        <v>0</v>
      </c>
      <c r="K1200" s="188" t="str">
        <f>IFERROR(_xlfn.XLOOKUP(A1200,[1]Fleet!A:A,[1]Fleet!E:E,""),"")</f>
        <v/>
      </c>
      <c r="L1200" s="188" t="s">
        <v>76</v>
      </c>
      <c r="M1200" s="188" t="s">
        <v>76</v>
      </c>
      <c r="O1200">
        <v>1046</v>
      </c>
      <c r="P1200">
        <f>_xlfn.XLOOKUP(A1200,'[1]Classic Net to delete'!D:D,'[1]Classic Net to delete'!AA:AA,0)</f>
        <v>0</v>
      </c>
    </row>
    <row r="1201" spans="1:16" x14ac:dyDescent="0.25">
      <c r="A1201" t="s">
        <v>2459</v>
      </c>
      <c r="B1201" t="s">
        <v>2460</v>
      </c>
      <c r="C1201">
        <v>10.75</v>
      </c>
      <c r="E1201" t="str">
        <f>CONCATENATE(J1201,". ",N1201)</f>
        <v xml:space="preserve">. </v>
      </c>
      <c r="F1201">
        <v>75</v>
      </c>
      <c r="G1201" t="b">
        <v>0</v>
      </c>
      <c r="K1201" s="188" t="str">
        <f>IFERROR(_xlfn.XLOOKUP(A1201,[1]Fleet!A:A,[1]Fleet!E:E,""),"")</f>
        <v/>
      </c>
      <c r="L1201" s="188" t="s">
        <v>76</v>
      </c>
      <c r="M1201" s="188" t="s">
        <v>76</v>
      </c>
      <c r="O1201">
        <v>1045</v>
      </c>
      <c r="P1201">
        <f>_xlfn.XLOOKUP(A1201,'[1]Classic Net to delete'!D:D,'[1]Classic Net to delete'!AA:AA,0)</f>
        <v>0</v>
      </c>
    </row>
    <row r="1202" spans="1:16" x14ac:dyDescent="0.25">
      <c r="A1202" t="s">
        <v>2461</v>
      </c>
      <c r="B1202" t="s">
        <v>2462</v>
      </c>
      <c r="C1202">
        <v>10.75</v>
      </c>
      <c r="E1202" t="str">
        <f>CONCATENATE(J1202,". ",N1202)</f>
        <v xml:space="preserve">. </v>
      </c>
      <c r="F1202">
        <v>75</v>
      </c>
      <c r="G1202" t="b">
        <v>0</v>
      </c>
      <c r="K1202" s="188" t="str">
        <f>IFERROR(_xlfn.XLOOKUP(A1202,[1]Fleet!A:A,[1]Fleet!E:E,""),"")</f>
        <v/>
      </c>
      <c r="L1202" s="188" t="s">
        <v>76</v>
      </c>
      <c r="M1202" s="188" t="s">
        <v>76</v>
      </c>
      <c r="O1202">
        <v>1044</v>
      </c>
      <c r="P1202">
        <f>_xlfn.XLOOKUP(A1202,'[1]Classic Net to delete'!D:D,'[1]Classic Net to delete'!AA:AA,0)</f>
        <v>0</v>
      </c>
    </row>
    <row r="1203" spans="1:16" x14ac:dyDescent="0.25">
      <c r="A1203" t="s">
        <v>2463</v>
      </c>
      <c r="B1203" t="s">
        <v>2464</v>
      </c>
      <c r="C1203">
        <v>10.75</v>
      </c>
      <c r="E1203" t="str">
        <f>CONCATENATE(J1203,". ",N1203)</f>
        <v xml:space="preserve">. </v>
      </c>
      <c r="F1203">
        <v>75</v>
      </c>
      <c r="G1203" t="b">
        <v>0</v>
      </c>
      <c r="K1203" s="188" t="str">
        <f>IFERROR(_xlfn.XLOOKUP(A1203,[1]Fleet!A:A,[1]Fleet!E:E,""),"")</f>
        <v/>
      </c>
      <c r="L1203" s="188" t="s">
        <v>76</v>
      </c>
      <c r="M1203" s="188" t="s">
        <v>76</v>
      </c>
      <c r="O1203">
        <v>1043</v>
      </c>
      <c r="P1203">
        <f>_xlfn.XLOOKUP(A1203,'[1]Classic Net to delete'!D:D,'[1]Classic Net to delete'!AA:AA,0)</f>
        <v>0</v>
      </c>
    </row>
    <row r="1204" spans="1:16" x14ac:dyDescent="0.25">
      <c r="A1204" t="s">
        <v>2465</v>
      </c>
      <c r="B1204" t="s">
        <v>2466</v>
      </c>
      <c r="C1204">
        <v>16.16</v>
      </c>
      <c r="E1204" t="str">
        <f>CONCATENATE(J1204,". ",N1204)</f>
        <v xml:space="preserve">. </v>
      </c>
      <c r="F1204">
        <v>75</v>
      </c>
      <c r="G1204" t="b">
        <v>0</v>
      </c>
      <c r="K1204" s="188" t="str">
        <f>IFERROR(_xlfn.XLOOKUP(A1204,[1]Fleet!A:A,[1]Fleet!E:E,""),"")</f>
        <v/>
      </c>
      <c r="L1204" s="188" t="s">
        <v>76</v>
      </c>
      <c r="M1204" s="188" t="s">
        <v>76</v>
      </c>
      <c r="O1204">
        <v>1042</v>
      </c>
      <c r="P1204">
        <f>_xlfn.XLOOKUP(A1204,'[1]Classic Net to delete'!D:D,'[1]Classic Net to delete'!AA:AA,0)</f>
        <v>0</v>
      </c>
    </row>
    <row r="1205" spans="1:16" x14ac:dyDescent="0.25">
      <c r="A1205" t="s">
        <v>2467</v>
      </c>
      <c r="B1205" t="s">
        <v>2468</v>
      </c>
      <c r="C1205">
        <v>8.19</v>
      </c>
      <c r="E1205" t="str">
        <f>CONCATENATE(J1205,". ",N1205)</f>
        <v xml:space="preserve">. </v>
      </c>
      <c r="F1205">
        <v>75</v>
      </c>
      <c r="G1205" t="b">
        <v>0</v>
      </c>
      <c r="K1205" s="188" t="str">
        <f>IFERROR(_xlfn.XLOOKUP(A1205,[1]Fleet!A:A,[1]Fleet!E:E,""),"")</f>
        <v/>
      </c>
      <c r="L1205" s="188" t="s">
        <v>76</v>
      </c>
      <c r="M1205" s="188" t="s">
        <v>76</v>
      </c>
      <c r="O1205">
        <v>1041</v>
      </c>
      <c r="P1205">
        <f>_xlfn.XLOOKUP(A1205,'[1]Classic Net to delete'!D:D,'[1]Classic Net to delete'!AA:AA,0)</f>
        <v>0</v>
      </c>
    </row>
    <row r="1206" spans="1:16" x14ac:dyDescent="0.25">
      <c r="A1206" t="s">
        <v>2469</v>
      </c>
      <c r="B1206" t="s">
        <v>2470</v>
      </c>
      <c r="C1206">
        <v>8.19</v>
      </c>
      <c r="E1206" t="str">
        <f>CONCATENATE(J1206,". ",N1206)</f>
        <v xml:space="preserve">. </v>
      </c>
      <c r="F1206">
        <v>75</v>
      </c>
      <c r="G1206" t="b">
        <v>0</v>
      </c>
      <c r="K1206" s="188" t="str">
        <f>IFERROR(_xlfn.XLOOKUP(A1206,[1]Fleet!A:A,[1]Fleet!E:E,""),"")</f>
        <v/>
      </c>
      <c r="L1206" s="188" t="s">
        <v>76</v>
      </c>
      <c r="M1206" s="188" t="s">
        <v>76</v>
      </c>
      <c r="O1206">
        <v>1040</v>
      </c>
      <c r="P1206">
        <f>_xlfn.XLOOKUP(A1206,'[1]Classic Net to delete'!D:D,'[1]Classic Net to delete'!AA:AA,0)</f>
        <v>0</v>
      </c>
    </row>
    <row r="1207" spans="1:16" x14ac:dyDescent="0.25">
      <c r="A1207" t="s">
        <v>2471</v>
      </c>
      <c r="B1207" t="s">
        <v>2472</v>
      </c>
      <c r="C1207">
        <v>8.19</v>
      </c>
      <c r="E1207" t="str">
        <f>CONCATENATE(J1207,". ",N1207)</f>
        <v xml:space="preserve">. </v>
      </c>
      <c r="F1207">
        <v>75</v>
      </c>
      <c r="G1207" t="b">
        <v>0</v>
      </c>
      <c r="K1207" s="188" t="str">
        <f>IFERROR(_xlfn.XLOOKUP(A1207,[1]Fleet!A:A,[1]Fleet!E:E,""),"")</f>
        <v/>
      </c>
      <c r="L1207" s="188" t="s">
        <v>76</v>
      </c>
      <c r="M1207" s="188" t="s">
        <v>76</v>
      </c>
      <c r="O1207">
        <v>1039</v>
      </c>
      <c r="P1207">
        <f>_xlfn.XLOOKUP(A1207,'[1]Classic Net to delete'!D:D,'[1]Classic Net to delete'!AA:AA,0)</f>
        <v>0</v>
      </c>
    </row>
    <row r="1208" spans="1:16" x14ac:dyDescent="0.25">
      <c r="A1208" t="s">
        <v>2473</v>
      </c>
      <c r="B1208" t="s">
        <v>2474</v>
      </c>
      <c r="C1208">
        <v>8.19</v>
      </c>
      <c r="E1208" t="str">
        <f>CONCATENATE(J1208,". ",N1208)</f>
        <v xml:space="preserve">. </v>
      </c>
      <c r="F1208">
        <v>75</v>
      </c>
      <c r="G1208" t="b">
        <v>0</v>
      </c>
      <c r="K1208" s="188" t="str">
        <f>IFERROR(_xlfn.XLOOKUP(A1208,[1]Fleet!A:A,[1]Fleet!E:E,""),"")</f>
        <v/>
      </c>
      <c r="L1208" s="188" t="s">
        <v>76</v>
      </c>
      <c r="M1208" s="188" t="s">
        <v>76</v>
      </c>
      <c r="O1208">
        <v>1038</v>
      </c>
      <c r="P1208">
        <f>_xlfn.XLOOKUP(A1208,'[1]Classic Net to delete'!D:D,'[1]Classic Net to delete'!AA:AA,0)</f>
        <v>0</v>
      </c>
    </row>
    <row r="1209" spans="1:16" x14ac:dyDescent="0.25">
      <c r="A1209" t="s">
        <v>2475</v>
      </c>
      <c r="B1209" t="s">
        <v>2476</v>
      </c>
      <c r="C1209">
        <v>8.19</v>
      </c>
      <c r="E1209" t="str">
        <f>CONCATENATE(J1209,". ",N1209)</f>
        <v xml:space="preserve">. </v>
      </c>
      <c r="F1209">
        <v>75</v>
      </c>
      <c r="G1209" t="b">
        <v>0</v>
      </c>
      <c r="K1209" s="188" t="str">
        <f>IFERROR(_xlfn.XLOOKUP(A1209,[1]Fleet!A:A,[1]Fleet!E:E,""),"")</f>
        <v/>
      </c>
      <c r="L1209" s="188" t="s">
        <v>76</v>
      </c>
      <c r="M1209" s="188" t="s">
        <v>76</v>
      </c>
      <c r="O1209">
        <v>1037</v>
      </c>
      <c r="P1209">
        <f>_xlfn.XLOOKUP(A1209,'[1]Classic Net to delete'!D:D,'[1]Classic Net to delete'!AA:AA,0)</f>
        <v>0</v>
      </c>
    </row>
    <row r="1210" spans="1:16" x14ac:dyDescent="0.25">
      <c r="A1210" t="s">
        <v>2477</v>
      </c>
      <c r="B1210" t="s">
        <v>2478</v>
      </c>
      <c r="C1210">
        <v>8.19</v>
      </c>
      <c r="E1210" t="str">
        <f>CONCATENATE(J1210,". ",N1210)</f>
        <v xml:space="preserve">. </v>
      </c>
      <c r="F1210">
        <v>75</v>
      </c>
      <c r="G1210" t="b">
        <v>0</v>
      </c>
      <c r="K1210" s="188" t="str">
        <f>IFERROR(_xlfn.XLOOKUP(A1210,[1]Fleet!A:A,[1]Fleet!E:E,""),"")</f>
        <v/>
      </c>
      <c r="L1210" s="188" t="s">
        <v>76</v>
      </c>
      <c r="M1210" s="188" t="s">
        <v>76</v>
      </c>
      <c r="O1210">
        <v>1036</v>
      </c>
      <c r="P1210">
        <f>_xlfn.XLOOKUP(A1210,'[1]Classic Net to delete'!D:D,'[1]Classic Net to delete'!AA:AA,0)</f>
        <v>0</v>
      </c>
    </row>
    <row r="1211" spans="1:16" x14ac:dyDescent="0.25">
      <c r="A1211" t="s">
        <v>2479</v>
      </c>
      <c r="B1211" t="s">
        <v>2480</v>
      </c>
      <c r="C1211">
        <v>8.19</v>
      </c>
      <c r="E1211" t="str">
        <f>CONCATENATE(J1211,". ",N1211)</f>
        <v xml:space="preserve">. </v>
      </c>
      <c r="F1211">
        <v>75</v>
      </c>
      <c r="G1211" t="b">
        <v>0</v>
      </c>
      <c r="K1211" s="188" t="str">
        <f>IFERROR(_xlfn.XLOOKUP(A1211,[1]Fleet!A:A,[1]Fleet!E:E,""),"")</f>
        <v/>
      </c>
      <c r="L1211" s="188" t="s">
        <v>76</v>
      </c>
      <c r="M1211" s="188" t="s">
        <v>76</v>
      </c>
      <c r="O1211">
        <v>1035</v>
      </c>
      <c r="P1211">
        <f>_xlfn.XLOOKUP(A1211,'[1]Classic Net to delete'!D:D,'[1]Classic Net to delete'!AA:AA,0)</f>
        <v>0</v>
      </c>
    </row>
    <row r="1212" spans="1:16" x14ac:dyDescent="0.25">
      <c r="A1212" t="s">
        <v>2481</v>
      </c>
      <c r="B1212" t="s">
        <v>2482</v>
      </c>
      <c r="C1212">
        <v>8.19</v>
      </c>
      <c r="E1212" t="str">
        <f>CONCATENATE(J1212,". ",N1212)</f>
        <v xml:space="preserve">. </v>
      </c>
      <c r="F1212">
        <v>75</v>
      </c>
      <c r="G1212" t="b">
        <v>0</v>
      </c>
      <c r="K1212" s="188" t="str">
        <f>IFERROR(_xlfn.XLOOKUP(A1212,[1]Fleet!A:A,[1]Fleet!E:E,""),"")</f>
        <v/>
      </c>
      <c r="L1212" s="188" t="s">
        <v>76</v>
      </c>
      <c r="M1212" s="188" t="s">
        <v>76</v>
      </c>
      <c r="O1212">
        <v>1034</v>
      </c>
      <c r="P1212">
        <f>_xlfn.XLOOKUP(A1212,'[1]Classic Net to delete'!D:D,'[1]Classic Net to delete'!AA:AA,0)</f>
        <v>0</v>
      </c>
    </row>
    <row r="1213" spans="1:16" x14ac:dyDescent="0.25">
      <c r="A1213" t="s">
        <v>2483</v>
      </c>
      <c r="B1213" t="s">
        <v>2484</v>
      </c>
      <c r="C1213">
        <v>8.19</v>
      </c>
      <c r="E1213" t="str">
        <f>CONCATENATE(J1213,". ",N1213)</f>
        <v xml:space="preserve">. </v>
      </c>
      <c r="F1213">
        <v>75</v>
      </c>
      <c r="G1213" t="b">
        <v>0</v>
      </c>
      <c r="K1213" s="188" t="str">
        <f>IFERROR(_xlfn.XLOOKUP(A1213,[1]Fleet!A:A,[1]Fleet!E:E,""),"")</f>
        <v/>
      </c>
      <c r="L1213" s="188" t="s">
        <v>76</v>
      </c>
      <c r="M1213" s="188" t="s">
        <v>76</v>
      </c>
      <c r="O1213">
        <v>1033</v>
      </c>
      <c r="P1213">
        <f>_xlfn.XLOOKUP(A1213,'[1]Classic Net to delete'!D:D,'[1]Classic Net to delete'!AA:AA,0)</f>
        <v>0</v>
      </c>
    </row>
    <row r="1214" spans="1:16" x14ac:dyDescent="0.25">
      <c r="A1214" t="s">
        <v>2485</v>
      </c>
      <c r="B1214" t="s">
        <v>2486</v>
      </c>
      <c r="C1214">
        <v>8.19</v>
      </c>
      <c r="E1214" t="str">
        <f>CONCATENATE(J1214,". ",N1214)</f>
        <v xml:space="preserve">. </v>
      </c>
      <c r="F1214">
        <v>75</v>
      </c>
      <c r="G1214" t="b">
        <v>0</v>
      </c>
      <c r="K1214" s="188" t="str">
        <f>IFERROR(_xlfn.XLOOKUP(A1214,[1]Fleet!A:A,[1]Fleet!E:E,""),"")</f>
        <v/>
      </c>
      <c r="L1214" s="188" t="s">
        <v>76</v>
      </c>
      <c r="M1214" s="188" t="s">
        <v>76</v>
      </c>
      <c r="O1214">
        <v>1032</v>
      </c>
      <c r="P1214">
        <f>_xlfn.XLOOKUP(A1214,'[1]Classic Net to delete'!D:D,'[1]Classic Net to delete'!AA:AA,0)</f>
        <v>0</v>
      </c>
    </row>
    <row r="1215" spans="1:16" x14ac:dyDescent="0.25">
      <c r="A1215" t="s">
        <v>2487</v>
      </c>
      <c r="B1215" t="s">
        <v>2488</v>
      </c>
      <c r="C1215">
        <v>8.19</v>
      </c>
      <c r="E1215" t="str">
        <f>CONCATENATE(J1215,". ",N1215)</f>
        <v xml:space="preserve">. </v>
      </c>
      <c r="F1215">
        <v>75</v>
      </c>
      <c r="G1215" t="b">
        <v>0</v>
      </c>
      <c r="K1215" s="188" t="str">
        <f>IFERROR(_xlfn.XLOOKUP(A1215,[1]Fleet!A:A,[1]Fleet!E:E,""),"")</f>
        <v/>
      </c>
      <c r="L1215" s="188" t="s">
        <v>76</v>
      </c>
      <c r="M1215" s="188" t="s">
        <v>76</v>
      </c>
      <c r="O1215">
        <v>1031</v>
      </c>
      <c r="P1215">
        <f>_xlfn.XLOOKUP(A1215,'[1]Classic Net to delete'!D:D,'[1]Classic Net to delete'!AA:AA,0)</f>
        <v>0</v>
      </c>
    </row>
    <row r="1216" spans="1:16" x14ac:dyDescent="0.25">
      <c r="A1216" t="s">
        <v>2489</v>
      </c>
      <c r="B1216" t="s">
        <v>2490</v>
      </c>
      <c r="C1216">
        <v>8.19</v>
      </c>
      <c r="E1216" t="str">
        <f>CONCATENATE(J1216,". ",N1216)</f>
        <v xml:space="preserve">. </v>
      </c>
      <c r="F1216">
        <v>75</v>
      </c>
      <c r="G1216" t="b">
        <v>0</v>
      </c>
      <c r="K1216" s="188" t="str">
        <f>IFERROR(_xlfn.XLOOKUP(A1216,[1]Fleet!A:A,[1]Fleet!E:E,""),"")</f>
        <v/>
      </c>
      <c r="L1216" s="188" t="s">
        <v>76</v>
      </c>
      <c r="M1216" s="188" t="s">
        <v>76</v>
      </c>
      <c r="O1216">
        <v>1030</v>
      </c>
      <c r="P1216">
        <f>_xlfn.XLOOKUP(A1216,'[1]Classic Net to delete'!D:D,'[1]Classic Net to delete'!AA:AA,0)</f>
        <v>0</v>
      </c>
    </row>
    <row r="1217" spans="1:16" x14ac:dyDescent="0.25">
      <c r="A1217" t="s">
        <v>2491</v>
      </c>
      <c r="B1217" t="s">
        <v>2492</v>
      </c>
      <c r="C1217">
        <v>8.19</v>
      </c>
      <c r="E1217" t="str">
        <f>CONCATENATE(J1217,". ",N1217)</f>
        <v xml:space="preserve">. </v>
      </c>
      <c r="F1217">
        <v>75</v>
      </c>
      <c r="G1217" t="b">
        <v>0</v>
      </c>
      <c r="K1217" s="188" t="str">
        <f>IFERROR(_xlfn.XLOOKUP(A1217,[1]Fleet!A:A,[1]Fleet!E:E,""),"")</f>
        <v/>
      </c>
      <c r="L1217" s="188" t="s">
        <v>76</v>
      </c>
      <c r="M1217" s="188" t="s">
        <v>76</v>
      </c>
      <c r="O1217">
        <v>1029</v>
      </c>
      <c r="P1217">
        <f>_xlfn.XLOOKUP(A1217,'[1]Classic Net to delete'!D:D,'[1]Classic Net to delete'!AA:AA,0)</f>
        <v>0</v>
      </c>
    </row>
    <row r="1218" spans="1:16" x14ac:dyDescent="0.25">
      <c r="A1218" t="s">
        <v>2498</v>
      </c>
      <c r="B1218" t="s">
        <v>2499</v>
      </c>
      <c r="C1218">
        <v>51.15</v>
      </c>
      <c r="E1218" t="str">
        <f>CONCATENATE(J1218,". ",N1218)</f>
        <v xml:space="preserve">. </v>
      </c>
      <c r="F1218">
        <v>75</v>
      </c>
      <c r="G1218" t="b">
        <v>0</v>
      </c>
      <c r="K1218" s="188" t="str">
        <f>IFERROR(_xlfn.XLOOKUP(A1218,[1]Fleet!A:A,[1]Fleet!E:E,""),"")</f>
        <v/>
      </c>
      <c r="L1218" s="188" t="s">
        <v>76</v>
      </c>
      <c r="M1218" s="188" t="s">
        <v>76</v>
      </c>
      <c r="O1218">
        <v>1028</v>
      </c>
      <c r="P1218">
        <f>_xlfn.XLOOKUP(A1218,'[1]Classic Net to delete'!D:D,'[1]Classic Net to delete'!AA:AA,0)</f>
        <v>0</v>
      </c>
    </row>
    <row r="1219" spans="1:16" x14ac:dyDescent="0.25">
      <c r="A1219" t="s">
        <v>2511</v>
      </c>
      <c r="B1219" t="s">
        <v>2512</v>
      </c>
      <c r="C1219">
        <v>10.75</v>
      </c>
      <c r="E1219" t="str">
        <f>CONCATENATE(J1219,". ",N1219)</f>
        <v xml:space="preserve">. </v>
      </c>
      <c r="F1219">
        <v>75</v>
      </c>
      <c r="G1219" t="b">
        <v>0</v>
      </c>
      <c r="K1219" s="188" t="str">
        <f>IFERROR(_xlfn.XLOOKUP(A1219,[1]Fleet!A:A,[1]Fleet!E:E,""),"")</f>
        <v/>
      </c>
      <c r="L1219" s="188" t="s">
        <v>76</v>
      </c>
      <c r="M1219" s="188" t="s">
        <v>76</v>
      </c>
      <c r="O1219">
        <v>1027</v>
      </c>
      <c r="P1219">
        <f>_xlfn.XLOOKUP(A1219,'[1]Classic Net to delete'!D:D,'[1]Classic Net to delete'!AA:AA,0)</f>
        <v>0</v>
      </c>
    </row>
    <row r="1220" spans="1:16" x14ac:dyDescent="0.25">
      <c r="A1220" t="s">
        <v>2513</v>
      </c>
      <c r="B1220" t="s">
        <v>2514</v>
      </c>
      <c r="C1220">
        <v>10.75</v>
      </c>
      <c r="E1220" t="str">
        <f>CONCATENATE(J1220,". ",N1220)</f>
        <v xml:space="preserve">. </v>
      </c>
      <c r="F1220">
        <v>75</v>
      </c>
      <c r="G1220" t="b">
        <v>0</v>
      </c>
      <c r="K1220" s="188" t="str">
        <f>IFERROR(_xlfn.XLOOKUP(A1220,[1]Fleet!A:A,[1]Fleet!E:E,""),"")</f>
        <v/>
      </c>
      <c r="L1220" s="188" t="s">
        <v>76</v>
      </c>
      <c r="M1220" s="188" t="s">
        <v>76</v>
      </c>
      <c r="O1220">
        <v>1026</v>
      </c>
      <c r="P1220">
        <f>_xlfn.XLOOKUP(A1220,'[1]Classic Net to delete'!D:D,'[1]Classic Net to delete'!AA:AA,0)</f>
        <v>0</v>
      </c>
    </row>
    <row r="1221" spans="1:16" x14ac:dyDescent="0.25">
      <c r="A1221" t="s">
        <v>2515</v>
      </c>
      <c r="B1221" t="s">
        <v>2516</v>
      </c>
      <c r="C1221">
        <v>10.75</v>
      </c>
      <c r="E1221" t="str">
        <f>CONCATENATE(J1221,". ",N1221)</f>
        <v xml:space="preserve">. </v>
      </c>
      <c r="F1221">
        <v>75</v>
      </c>
      <c r="G1221" t="b">
        <v>0</v>
      </c>
      <c r="K1221" s="188" t="str">
        <f>IFERROR(_xlfn.XLOOKUP(A1221,[1]Fleet!A:A,[1]Fleet!E:E,""),"")</f>
        <v/>
      </c>
      <c r="L1221" s="188" t="s">
        <v>76</v>
      </c>
      <c r="M1221" s="188" t="s">
        <v>76</v>
      </c>
      <c r="O1221">
        <v>1025</v>
      </c>
      <c r="P1221">
        <f>_xlfn.XLOOKUP(A1221,'[1]Classic Net to delete'!D:D,'[1]Classic Net to delete'!AA:AA,0)</f>
        <v>0</v>
      </c>
    </row>
    <row r="1222" spans="1:16" x14ac:dyDescent="0.25">
      <c r="A1222" t="s">
        <v>2517</v>
      </c>
      <c r="B1222" t="s">
        <v>2518</v>
      </c>
      <c r="C1222">
        <v>10.75</v>
      </c>
      <c r="E1222" t="str">
        <f>CONCATENATE(J1222,". ",N1222)</f>
        <v xml:space="preserve">. </v>
      </c>
      <c r="F1222">
        <v>75</v>
      </c>
      <c r="G1222" t="b">
        <v>0</v>
      </c>
      <c r="K1222" s="188" t="str">
        <f>IFERROR(_xlfn.XLOOKUP(A1222,[1]Fleet!A:A,[1]Fleet!E:E,""),"")</f>
        <v/>
      </c>
      <c r="L1222" s="188" t="s">
        <v>76</v>
      </c>
      <c r="M1222" s="188" t="s">
        <v>76</v>
      </c>
      <c r="O1222">
        <v>1024</v>
      </c>
      <c r="P1222">
        <f>_xlfn.XLOOKUP(A1222,'[1]Classic Net to delete'!D:D,'[1]Classic Net to delete'!AA:AA,0)</f>
        <v>0</v>
      </c>
    </row>
    <row r="1223" spans="1:16" x14ac:dyDescent="0.25">
      <c r="A1223" t="s">
        <v>2519</v>
      </c>
      <c r="B1223" t="s">
        <v>2520</v>
      </c>
      <c r="C1223">
        <v>10.75</v>
      </c>
      <c r="E1223" t="str">
        <f>CONCATENATE(J1223,". ",N1223)</f>
        <v xml:space="preserve">. </v>
      </c>
      <c r="F1223">
        <v>75</v>
      </c>
      <c r="G1223" t="b">
        <v>0</v>
      </c>
      <c r="K1223" s="188" t="str">
        <f>IFERROR(_xlfn.XLOOKUP(A1223,[1]Fleet!A:A,[1]Fleet!E:E,""),"")</f>
        <v/>
      </c>
      <c r="L1223" s="188" t="s">
        <v>76</v>
      </c>
      <c r="M1223" s="188" t="s">
        <v>76</v>
      </c>
      <c r="O1223">
        <v>1023</v>
      </c>
      <c r="P1223">
        <f>_xlfn.XLOOKUP(A1223,'[1]Classic Net to delete'!D:D,'[1]Classic Net to delete'!AA:AA,0)</f>
        <v>0</v>
      </c>
    </row>
    <row r="1224" spans="1:16" x14ac:dyDescent="0.25">
      <c r="A1224" t="s">
        <v>2521</v>
      </c>
      <c r="B1224" t="s">
        <v>2522</v>
      </c>
      <c r="C1224">
        <v>10.75</v>
      </c>
      <c r="E1224" t="str">
        <f>CONCATENATE(J1224,". ",N1224)</f>
        <v xml:space="preserve">. </v>
      </c>
      <c r="F1224">
        <v>75</v>
      </c>
      <c r="G1224" t="b">
        <v>0</v>
      </c>
      <c r="K1224" s="188" t="str">
        <f>IFERROR(_xlfn.XLOOKUP(A1224,[1]Fleet!A:A,[1]Fleet!E:E,""),"")</f>
        <v/>
      </c>
      <c r="L1224" s="188" t="s">
        <v>76</v>
      </c>
      <c r="M1224" s="188" t="s">
        <v>76</v>
      </c>
      <c r="O1224">
        <v>1022</v>
      </c>
      <c r="P1224">
        <f>_xlfn.XLOOKUP(A1224,'[1]Classic Net to delete'!D:D,'[1]Classic Net to delete'!AA:AA,0)</f>
        <v>0</v>
      </c>
    </row>
    <row r="1225" spans="1:16" x14ac:dyDescent="0.25">
      <c r="A1225" t="s">
        <v>2523</v>
      </c>
      <c r="B1225" t="s">
        <v>2524</v>
      </c>
      <c r="C1225">
        <v>52.38</v>
      </c>
      <c r="E1225" t="str">
        <f>CONCATENATE(J1225,". ",N1225)</f>
        <v xml:space="preserve">. </v>
      </c>
      <c r="F1225">
        <v>75</v>
      </c>
      <c r="G1225" t="b">
        <v>0</v>
      </c>
      <c r="K1225" s="188" t="str">
        <f>IFERROR(_xlfn.XLOOKUP(A1225,[1]Fleet!A:A,[1]Fleet!E:E,""),"")</f>
        <v/>
      </c>
      <c r="L1225" s="188" t="s">
        <v>76</v>
      </c>
      <c r="M1225" s="188" t="s">
        <v>76</v>
      </c>
      <c r="O1225">
        <v>1021</v>
      </c>
      <c r="P1225">
        <f>_xlfn.XLOOKUP(A1225,'[1]Classic Net to delete'!D:D,'[1]Classic Net to delete'!AA:AA,0)</f>
        <v>0</v>
      </c>
    </row>
    <row r="1226" spans="1:16" x14ac:dyDescent="0.25">
      <c r="A1226" t="s">
        <v>2525</v>
      </c>
      <c r="B1226" t="s">
        <v>2526</v>
      </c>
      <c r="C1226">
        <v>59.33</v>
      </c>
      <c r="E1226" t="str">
        <f>CONCATENATE(J1226,". ",N1226)</f>
        <v xml:space="preserve">. </v>
      </c>
      <c r="F1226">
        <v>75</v>
      </c>
      <c r="G1226" t="b">
        <v>0</v>
      </c>
      <c r="K1226" s="188" t="str">
        <f>IFERROR(_xlfn.XLOOKUP(A1226,[1]Fleet!A:A,[1]Fleet!E:E,""),"")</f>
        <v/>
      </c>
      <c r="L1226" s="188" t="s">
        <v>76</v>
      </c>
      <c r="M1226" s="188" t="s">
        <v>76</v>
      </c>
      <c r="O1226">
        <v>1019</v>
      </c>
      <c r="P1226">
        <f>_xlfn.XLOOKUP(A1226,'[1]Classic Net to delete'!D:D,'[1]Classic Net to delete'!AA:AA,0)</f>
        <v>0</v>
      </c>
    </row>
    <row r="1227" spans="1:16" x14ac:dyDescent="0.25">
      <c r="A1227" t="s">
        <v>2525</v>
      </c>
      <c r="B1227" t="s">
        <v>2526</v>
      </c>
      <c r="C1227">
        <v>59.33</v>
      </c>
      <c r="E1227" t="str">
        <f>CONCATENATE(J1227,". ",N1227)</f>
        <v xml:space="preserve">. </v>
      </c>
      <c r="F1227">
        <v>75</v>
      </c>
      <c r="G1227" t="b">
        <v>0</v>
      </c>
      <c r="K1227" s="188" t="str">
        <f>IFERROR(_xlfn.XLOOKUP(A1227,[1]Fleet!A:A,[1]Fleet!E:E,""),"")</f>
        <v/>
      </c>
      <c r="L1227" s="188" t="s">
        <v>76</v>
      </c>
      <c r="M1227" s="188" t="s">
        <v>76</v>
      </c>
      <c r="O1227">
        <v>1020</v>
      </c>
      <c r="P1227">
        <f>_xlfn.XLOOKUP(A1227,'[1]Classic Net to delete'!D:D,'[1]Classic Net to delete'!AA:AA,0)</f>
        <v>0</v>
      </c>
    </row>
    <row r="1228" spans="1:16" x14ac:dyDescent="0.25">
      <c r="A1228" t="s">
        <v>2530</v>
      </c>
      <c r="B1228" t="s">
        <v>2531</v>
      </c>
      <c r="C1228">
        <v>12.950000000000001</v>
      </c>
      <c r="E1228" t="str">
        <f>CONCATENATE(J1228,". ",N1228)</f>
        <v xml:space="preserve">. </v>
      </c>
      <c r="F1228">
        <v>75</v>
      </c>
      <c r="G1228" t="b">
        <v>0</v>
      </c>
      <c r="K1228" s="188" t="str">
        <f>IFERROR(_xlfn.XLOOKUP(A1228,[1]Fleet!A:A,[1]Fleet!E:E,""),"")</f>
        <v/>
      </c>
      <c r="L1228" s="188" t="s">
        <v>76</v>
      </c>
      <c r="M1228" s="188" t="s">
        <v>76</v>
      </c>
      <c r="O1228">
        <v>1018</v>
      </c>
      <c r="P1228">
        <f>_xlfn.XLOOKUP(A1228,'[1]Classic Net to delete'!D:D,'[1]Classic Net to delete'!AA:AA,0)</f>
        <v>0</v>
      </c>
    </row>
    <row r="1229" spans="1:16" x14ac:dyDescent="0.25">
      <c r="A1229" t="s">
        <v>2553</v>
      </c>
      <c r="B1229" t="s">
        <v>2554</v>
      </c>
      <c r="C1229">
        <v>0</v>
      </c>
      <c r="E1229" t="str">
        <f>CONCATENATE(J1229,". ",N1229)</f>
        <v xml:space="preserve">. </v>
      </c>
      <c r="F1229">
        <v>75</v>
      </c>
      <c r="G1229" t="b">
        <v>0</v>
      </c>
      <c r="K1229" s="188" t="str">
        <f>IFERROR(_xlfn.XLOOKUP(A1229,[1]Fleet!A:A,[1]Fleet!E:E,""),"")</f>
        <v/>
      </c>
      <c r="L1229" s="188" t="s">
        <v>76</v>
      </c>
      <c r="M1229" s="188" t="s">
        <v>76</v>
      </c>
      <c r="O1229">
        <v>1017</v>
      </c>
      <c r="P1229">
        <f>_xlfn.XLOOKUP(A1229,'[1]Classic Net to delete'!D:D,'[1]Classic Net to delete'!AA:AA,0)</f>
        <v>0</v>
      </c>
    </row>
    <row r="1230" spans="1:16" x14ac:dyDescent="0.25">
      <c r="A1230" t="s">
        <v>2580</v>
      </c>
      <c r="B1230" t="s">
        <v>2581</v>
      </c>
      <c r="C1230">
        <v>0</v>
      </c>
      <c r="E1230" t="str">
        <f>CONCATENATE(J1230,". ",N1230)</f>
        <v xml:space="preserve">. </v>
      </c>
      <c r="F1230">
        <v>75</v>
      </c>
      <c r="G1230" t="b">
        <v>0</v>
      </c>
      <c r="K1230" s="188" t="str">
        <f>IFERROR(_xlfn.XLOOKUP(A1230,[1]Fleet!A:A,[1]Fleet!E:E,""),"")</f>
        <v/>
      </c>
      <c r="L1230" s="188" t="s">
        <v>76</v>
      </c>
      <c r="M1230" s="188" t="s">
        <v>76</v>
      </c>
      <c r="O1230">
        <v>1016</v>
      </c>
      <c r="P1230">
        <f>_xlfn.XLOOKUP(A1230,'[1]Classic Net to delete'!D:D,'[1]Classic Net to delete'!AA:AA,0)</f>
        <v>0</v>
      </c>
    </row>
    <row r="1231" spans="1:16" x14ac:dyDescent="0.25">
      <c r="A1231" t="s">
        <v>2586</v>
      </c>
      <c r="B1231" t="s">
        <v>2587</v>
      </c>
      <c r="C1231">
        <v>10.75</v>
      </c>
      <c r="E1231" t="str">
        <f>CONCATENATE(J1231,". ",N1231)</f>
        <v xml:space="preserve">. </v>
      </c>
      <c r="F1231">
        <v>75</v>
      </c>
      <c r="G1231" t="b">
        <v>0</v>
      </c>
      <c r="K1231" s="188" t="str">
        <f>IFERROR(_xlfn.XLOOKUP(A1231,[1]Fleet!A:A,[1]Fleet!E:E,""),"")</f>
        <v/>
      </c>
      <c r="L1231" s="188" t="s">
        <v>76</v>
      </c>
      <c r="M1231" s="188" t="s">
        <v>76</v>
      </c>
      <c r="O1231">
        <v>1015</v>
      </c>
      <c r="P1231">
        <f>_xlfn.XLOOKUP(A1231,'[1]Classic Net to delete'!D:D,'[1]Classic Net to delete'!AA:AA,0)</f>
        <v>0</v>
      </c>
    </row>
    <row r="1232" spans="1:16" x14ac:dyDescent="0.25">
      <c r="A1232" t="s">
        <v>2588</v>
      </c>
      <c r="B1232" t="s">
        <v>2589</v>
      </c>
      <c r="C1232">
        <v>0</v>
      </c>
      <c r="E1232" t="str">
        <f>CONCATENATE(J1232,". ",N1232)</f>
        <v xml:space="preserve">. </v>
      </c>
      <c r="F1232">
        <v>75</v>
      </c>
      <c r="G1232" t="b">
        <v>0</v>
      </c>
      <c r="K1232" s="188" t="str">
        <f>IFERROR(_xlfn.XLOOKUP(A1232,[1]Fleet!A:A,[1]Fleet!E:E,""),"")</f>
        <v/>
      </c>
      <c r="L1232" s="188" t="s">
        <v>76</v>
      </c>
      <c r="M1232" s="188" t="s">
        <v>76</v>
      </c>
      <c r="O1232">
        <v>1014</v>
      </c>
      <c r="P1232">
        <f>_xlfn.XLOOKUP(A1232,'[1]Classic Net to delete'!D:D,'[1]Classic Net to delete'!AA:AA,0)</f>
        <v>0</v>
      </c>
    </row>
    <row r="1233" spans="1:16" x14ac:dyDescent="0.25">
      <c r="A1233" t="s">
        <v>2608</v>
      </c>
      <c r="B1233" t="s">
        <v>2609</v>
      </c>
      <c r="C1233">
        <v>14.23</v>
      </c>
      <c r="E1233" t="str">
        <f>CONCATENATE(J1233,". ",N1233)</f>
        <v xml:space="preserve">. </v>
      </c>
      <c r="F1233">
        <v>75</v>
      </c>
      <c r="G1233" t="b">
        <v>0</v>
      </c>
      <c r="K1233" s="188" t="str">
        <f>IFERROR(_xlfn.XLOOKUP(A1233,[1]Fleet!A:A,[1]Fleet!E:E,""),"")</f>
        <v/>
      </c>
      <c r="L1233" s="188" t="s">
        <v>76</v>
      </c>
      <c r="M1233" s="188" t="s">
        <v>76</v>
      </c>
      <c r="O1233">
        <v>1013</v>
      </c>
      <c r="P1233">
        <f>_xlfn.XLOOKUP(A1233,'[1]Classic Net to delete'!D:D,'[1]Classic Net to delete'!AA:AA,0)</f>
        <v>0</v>
      </c>
    </row>
    <row r="1234" spans="1:16" x14ac:dyDescent="0.25">
      <c r="A1234" t="s">
        <v>2612</v>
      </c>
      <c r="B1234" t="s">
        <v>2613</v>
      </c>
      <c r="C1234">
        <v>20.170000000000002</v>
      </c>
      <c r="E1234" t="str">
        <f>CONCATENATE(J1234,". ",N1234)</f>
        <v xml:space="preserve">. </v>
      </c>
      <c r="F1234">
        <v>75</v>
      </c>
      <c r="G1234" t="b">
        <v>0</v>
      </c>
      <c r="K1234" s="188" t="str">
        <f>IFERROR(_xlfn.XLOOKUP(A1234,[1]Fleet!A:A,[1]Fleet!E:E,""),"")</f>
        <v/>
      </c>
      <c r="L1234" s="188" t="s">
        <v>76</v>
      </c>
      <c r="M1234" s="188" t="s">
        <v>76</v>
      </c>
      <c r="O1234">
        <v>1012</v>
      </c>
      <c r="P1234">
        <f>_xlfn.XLOOKUP(A1234,'[1]Classic Net to delete'!D:D,'[1]Classic Net to delete'!AA:AA,0)</f>
        <v>0</v>
      </c>
    </row>
    <row r="1235" spans="1:16" x14ac:dyDescent="0.25">
      <c r="A1235" t="s">
        <v>2614</v>
      </c>
      <c r="B1235" t="s">
        <v>2615</v>
      </c>
      <c r="C1235">
        <v>8.2900000000000009</v>
      </c>
      <c r="E1235" t="str">
        <f>CONCATENATE(J1235,". ",N1235)</f>
        <v xml:space="preserve">. </v>
      </c>
      <c r="F1235">
        <v>75</v>
      </c>
      <c r="G1235" t="b">
        <v>0</v>
      </c>
      <c r="K1235" s="188" t="str">
        <f>IFERROR(_xlfn.XLOOKUP(A1235,[1]Fleet!A:A,[1]Fleet!E:E,""),"")</f>
        <v/>
      </c>
      <c r="L1235" s="188" t="s">
        <v>76</v>
      </c>
      <c r="M1235" s="188" t="s">
        <v>76</v>
      </c>
      <c r="O1235">
        <v>1011</v>
      </c>
      <c r="P1235">
        <f>_xlfn.XLOOKUP(A1235,'[1]Classic Net to delete'!D:D,'[1]Classic Net to delete'!AA:AA,0)</f>
        <v>0</v>
      </c>
    </row>
    <row r="1236" spans="1:16" x14ac:dyDescent="0.25">
      <c r="A1236" t="s">
        <v>2616</v>
      </c>
      <c r="B1236" t="s">
        <v>2617</v>
      </c>
      <c r="C1236">
        <v>5.51</v>
      </c>
      <c r="E1236" t="str">
        <f>CONCATENATE(J1236,". ",N1236)</f>
        <v xml:space="preserve">. </v>
      </c>
      <c r="F1236">
        <v>75</v>
      </c>
      <c r="G1236" t="b">
        <v>0</v>
      </c>
      <c r="K1236" s="188" t="str">
        <f>IFERROR(_xlfn.XLOOKUP(A1236,[1]Fleet!A:A,[1]Fleet!E:E,""),"")</f>
        <v/>
      </c>
      <c r="L1236" s="188" t="s">
        <v>76</v>
      </c>
      <c r="M1236" s="188" t="s">
        <v>76</v>
      </c>
      <c r="O1236">
        <v>1010</v>
      </c>
      <c r="P1236">
        <f>_xlfn.XLOOKUP(A1236,'[1]Classic Net to delete'!D:D,'[1]Classic Net to delete'!AA:AA,0)</f>
        <v>0</v>
      </c>
    </row>
    <row r="1237" spans="1:16" x14ac:dyDescent="0.25">
      <c r="A1237" t="s">
        <v>2621</v>
      </c>
      <c r="B1237" t="s">
        <v>2622</v>
      </c>
      <c r="C1237">
        <v>15.14</v>
      </c>
      <c r="E1237" t="str">
        <f>CONCATENATE(J1237,". ",N1237)</f>
        <v xml:space="preserve">. </v>
      </c>
      <c r="F1237">
        <v>75</v>
      </c>
      <c r="G1237" t="b">
        <v>0</v>
      </c>
      <c r="K1237" s="188" t="str">
        <f>IFERROR(_xlfn.XLOOKUP(A1237,[1]Fleet!A:A,[1]Fleet!E:E,""),"")</f>
        <v/>
      </c>
      <c r="L1237" s="188" t="s">
        <v>76</v>
      </c>
      <c r="M1237" s="188" t="s">
        <v>76</v>
      </c>
      <c r="O1237">
        <v>1009</v>
      </c>
      <c r="P1237">
        <f>_xlfn.XLOOKUP(A1237,'[1]Classic Net to delete'!D:D,'[1]Classic Net to delete'!AA:AA,0)</f>
        <v>0</v>
      </c>
    </row>
    <row r="1238" spans="1:16" x14ac:dyDescent="0.25">
      <c r="A1238" t="s">
        <v>2623</v>
      </c>
      <c r="B1238" t="s">
        <v>2624</v>
      </c>
      <c r="C1238">
        <v>5.94</v>
      </c>
      <c r="E1238" t="str">
        <f>CONCATENATE(J1238,". ",N1238)</f>
        <v xml:space="preserve">. </v>
      </c>
      <c r="F1238">
        <v>75</v>
      </c>
      <c r="G1238" t="b">
        <v>0</v>
      </c>
      <c r="K1238" s="188" t="str">
        <f>IFERROR(_xlfn.XLOOKUP(A1238,[1]Fleet!A:A,[1]Fleet!E:E,""),"")</f>
        <v/>
      </c>
      <c r="L1238" s="188" t="s">
        <v>76</v>
      </c>
      <c r="M1238" s="188" t="s">
        <v>76</v>
      </c>
      <c r="O1238">
        <v>1008</v>
      </c>
      <c r="P1238">
        <f>_xlfn.XLOOKUP(A1238,'[1]Classic Net to delete'!D:D,'[1]Classic Net to delete'!AA:AA,0)</f>
        <v>0</v>
      </c>
    </row>
    <row r="1239" spans="1:16" x14ac:dyDescent="0.25">
      <c r="A1239" t="s">
        <v>2625</v>
      </c>
      <c r="B1239" t="s">
        <v>2626</v>
      </c>
      <c r="C1239">
        <v>19.96</v>
      </c>
      <c r="E1239" t="str">
        <f>CONCATENATE(J1239,". ",N1239)</f>
        <v xml:space="preserve">. </v>
      </c>
      <c r="F1239">
        <v>75</v>
      </c>
      <c r="G1239" t="b">
        <v>0</v>
      </c>
      <c r="K1239" s="188" t="str">
        <f>IFERROR(_xlfn.XLOOKUP(A1239,[1]Fleet!A:A,[1]Fleet!E:E,""),"")</f>
        <v/>
      </c>
      <c r="L1239" s="188" t="s">
        <v>76</v>
      </c>
      <c r="M1239" s="188" t="s">
        <v>76</v>
      </c>
      <c r="O1239">
        <v>1007</v>
      </c>
      <c r="P1239">
        <f>_xlfn.XLOOKUP(A1239,'[1]Classic Net to delete'!D:D,'[1]Classic Net to delete'!AA:AA,0)</f>
        <v>0</v>
      </c>
    </row>
    <row r="1240" spans="1:16" x14ac:dyDescent="0.25">
      <c r="A1240" t="s">
        <v>2629</v>
      </c>
      <c r="B1240" t="s">
        <v>2630</v>
      </c>
      <c r="C1240">
        <v>0</v>
      </c>
      <c r="E1240" t="str">
        <f>CONCATENATE(J1240,". ",N1240)</f>
        <v xml:space="preserve">. </v>
      </c>
      <c r="F1240">
        <v>75</v>
      </c>
      <c r="G1240" t="b">
        <v>0</v>
      </c>
      <c r="K1240" s="188" t="str">
        <f>IFERROR(_xlfn.XLOOKUP(A1240,[1]Fleet!A:A,[1]Fleet!E:E,""),"")</f>
        <v/>
      </c>
      <c r="L1240" s="188" t="s">
        <v>76</v>
      </c>
      <c r="M1240" s="188" t="s">
        <v>76</v>
      </c>
      <c r="O1240">
        <v>1006</v>
      </c>
      <c r="P1240">
        <f>_xlfn.XLOOKUP(A1240,'[1]Classic Net to delete'!D:D,'[1]Classic Net to delete'!AA:AA,0)</f>
        <v>0</v>
      </c>
    </row>
    <row r="1241" spans="1:16" x14ac:dyDescent="0.25">
      <c r="A1241" t="s">
        <v>2631</v>
      </c>
      <c r="B1241" t="s">
        <v>2632</v>
      </c>
      <c r="C1241">
        <v>21.19</v>
      </c>
      <c r="E1241" t="str">
        <f>CONCATENATE(J1241,". ",N1241)</f>
        <v xml:space="preserve">. </v>
      </c>
      <c r="F1241">
        <v>75</v>
      </c>
      <c r="G1241" t="b">
        <v>0</v>
      </c>
      <c r="K1241" s="188" t="str">
        <f>IFERROR(_xlfn.XLOOKUP(A1241,[1]Fleet!A:A,[1]Fleet!E:E,""),"")</f>
        <v/>
      </c>
      <c r="L1241" s="188" t="s">
        <v>76</v>
      </c>
      <c r="M1241" s="188" t="s">
        <v>76</v>
      </c>
      <c r="O1241">
        <v>1005</v>
      </c>
      <c r="P1241">
        <f>_xlfn.XLOOKUP(A1241,'[1]Classic Net to delete'!D:D,'[1]Classic Net to delete'!AA:AA,0)</f>
        <v>0</v>
      </c>
    </row>
    <row r="1242" spans="1:16" x14ac:dyDescent="0.25">
      <c r="A1242" t="s">
        <v>2671</v>
      </c>
      <c r="B1242" t="s">
        <v>2672</v>
      </c>
      <c r="C1242">
        <v>11.34</v>
      </c>
      <c r="E1242" t="str">
        <f>CONCATENATE(J1242,". ",N1242)</f>
        <v xml:space="preserve">. </v>
      </c>
      <c r="F1242">
        <v>75</v>
      </c>
      <c r="G1242" t="b">
        <v>0</v>
      </c>
      <c r="K1242" s="188" t="str">
        <f>IFERROR(_xlfn.XLOOKUP(A1242,[1]Fleet!A:A,[1]Fleet!E:E,""),"")</f>
        <v/>
      </c>
      <c r="L1242" s="188" t="s">
        <v>76</v>
      </c>
      <c r="M1242" s="188" t="s">
        <v>76</v>
      </c>
      <c r="O1242">
        <v>1004</v>
      </c>
      <c r="P1242">
        <f>_xlfn.XLOOKUP(A1242,'[1]Classic Net to delete'!D:D,'[1]Classic Net to delete'!AA:AA,0)</f>
        <v>0</v>
      </c>
    </row>
    <row r="1243" spans="1:16" x14ac:dyDescent="0.25">
      <c r="A1243" t="s">
        <v>2678</v>
      </c>
      <c r="B1243" t="s">
        <v>2679</v>
      </c>
      <c r="C1243">
        <v>27.12</v>
      </c>
      <c r="E1243" t="str">
        <f>CONCATENATE(J1243,". ",N1243)</f>
        <v xml:space="preserve">. </v>
      </c>
      <c r="F1243">
        <v>75</v>
      </c>
      <c r="G1243" t="b">
        <v>0</v>
      </c>
      <c r="K1243" s="188" t="str">
        <f>IFERROR(_xlfn.XLOOKUP(A1243,[1]Fleet!A:A,[1]Fleet!E:E,""),"")</f>
        <v/>
      </c>
      <c r="L1243" s="188" t="s">
        <v>76</v>
      </c>
      <c r="M1243" s="188" t="s">
        <v>76</v>
      </c>
      <c r="O1243">
        <v>1003</v>
      </c>
      <c r="P1243">
        <f>_xlfn.XLOOKUP(A1243,'[1]Classic Net to delete'!D:D,'[1]Classic Net to delete'!AA:AA,0)</f>
        <v>0</v>
      </c>
    </row>
    <row r="1244" spans="1:16" x14ac:dyDescent="0.25">
      <c r="A1244" t="s">
        <v>2685</v>
      </c>
      <c r="B1244" t="s">
        <v>2686</v>
      </c>
      <c r="C1244">
        <v>17.07</v>
      </c>
      <c r="E1244" t="str">
        <f>CONCATENATE(J1244,". ",N1244)</f>
        <v xml:space="preserve">. </v>
      </c>
      <c r="F1244">
        <v>75</v>
      </c>
      <c r="G1244" t="b">
        <v>0</v>
      </c>
      <c r="K1244" s="188" t="str">
        <f>IFERROR(_xlfn.XLOOKUP(A1244,[1]Fleet!A:A,[1]Fleet!E:E,""),"")</f>
        <v/>
      </c>
      <c r="L1244" s="188" t="s">
        <v>76</v>
      </c>
      <c r="M1244" s="188" t="s">
        <v>76</v>
      </c>
      <c r="O1244">
        <v>1002</v>
      </c>
      <c r="P1244">
        <f>_xlfn.XLOOKUP(A1244,'[1]Classic Net to delete'!D:D,'[1]Classic Net to delete'!AA:AA,0)</f>
        <v>0</v>
      </c>
    </row>
    <row r="1245" spans="1:16" x14ac:dyDescent="0.25">
      <c r="A1245" t="s">
        <v>2694</v>
      </c>
      <c r="B1245" t="s">
        <v>2695</v>
      </c>
      <c r="C1245">
        <v>17.07</v>
      </c>
      <c r="E1245" t="str">
        <f>CONCATENATE(J1245,". ",N1245)</f>
        <v xml:space="preserve">. </v>
      </c>
      <c r="F1245">
        <v>75</v>
      </c>
      <c r="G1245" t="b">
        <v>0</v>
      </c>
      <c r="K1245" s="188" t="str">
        <f>IFERROR(_xlfn.XLOOKUP(A1245,[1]Fleet!A:A,[1]Fleet!E:E,""),"")</f>
        <v/>
      </c>
      <c r="L1245" s="188" t="s">
        <v>76</v>
      </c>
      <c r="M1245" s="188" t="s">
        <v>76</v>
      </c>
      <c r="O1245">
        <v>1001</v>
      </c>
      <c r="P1245">
        <f>_xlfn.XLOOKUP(A1245,'[1]Classic Net to delete'!D:D,'[1]Classic Net to delete'!AA:AA,0)</f>
        <v>0</v>
      </c>
    </row>
    <row r="1246" spans="1:16" x14ac:dyDescent="0.25">
      <c r="A1246" t="s">
        <v>2699</v>
      </c>
      <c r="B1246" t="s">
        <v>2700</v>
      </c>
      <c r="C1246">
        <v>17.07</v>
      </c>
      <c r="E1246" t="str">
        <f>CONCATENATE(J1246,". ",N1246)</f>
        <v xml:space="preserve">. </v>
      </c>
      <c r="F1246">
        <v>75</v>
      </c>
      <c r="G1246" t="b">
        <v>0</v>
      </c>
      <c r="K1246" s="188" t="str">
        <f>IFERROR(_xlfn.XLOOKUP(A1246,[1]Fleet!A:A,[1]Fleet!E:E,""),"")</f>
        <v/>
      </c>
      <c r="L1246" s="188" t="s">
        <v>76</v>
      </c>
      <c r="M1246" s="188" t="s">
        <v>76</v>
      </c>
      <c r="O1246">
        <v>1000</v>
      </c>
      <c r="P1246">
        <f>_xlfn.XLOOKUP(A1246,'[1]Classic Net to delete'!D:D,'[1]Classic Net to delete'!AA:AA,0)</f>
        <v>0</v>
      </c>
    </row>
    <row r="1247" spans="1:16" x14ac:dyDescent="0.25">
      <c r="A1247" t="s">
        <v>2701</v>
      </c>
      <c r="B1247" t="s">
        <v>2702</v>
      </c>
      <c r="C1247">
        <v>0.96</v>
      </c>
      <c r="E1247" t="str">
        <f>CONCATENATE(J1247,". ",N1247)</f>
        <v xml:space="preserve">. </v>
      </c>
      <c r="F1247">
        <v>75</v>
      </c>
      <c r="G1247" t="b">
        <v>0</v>
      </c>
      <c r="K1247" s="188" t="str">
        <f>IFERROR(_xlfn.XLOOKUP(A1247,[1]Fleet!A:A,[1]Fleet!E:E,""),"")</f>
        <v/>
      </c>
      <c r="L1247" s="188" t="s">
        <v>76</v>
      </c>
      <c r="M1247" s="188" t="s">
        <v>76</v>
      </c>
      <c r="O1247">
        <v>999</v>
      </c>
      <c r="P1247">
        <f>_xlfn.XLOOKUP(A1247,'[1]Classic Net to delete'!D:D,'[1]Classic Net to delete'!AA:AA,0)</f>
        <v>0</v>
      </c>
    </row>
    <row r="1248" spans="1:16" x14ac:dyDescent="0.25">
      <c r="A1248" t="s">
        <v>2716</v>
      </c>
      <c r="B1248" t="s">
        <v>2717</v>
      </c>
      <c r="C1248">
        <v>0</v>
      </c>
      <c r="E1248" t="str">
        <f>CONCATENATE(J1248,". ",N1248)</f>
        <v xml:space="preserve">. </v>
      </c>
      <c r="F1248">
        <v>75</v>
      </c>
      <c r="G1248" t="b">
        <v>0</v>
      </c>
      <c r="K1248" s="188" t="str">
        <f>IFERROR(_xlfn.XLOOKUP(A1248,[1]Fleet!A:A,[1]Fleet!E:E,""),"")</f>
        <v/>
      </c>
      <c r="L1248" s="188" t="s">
        <v>76</v>
      </c>
      <c r="M1248" s="188" t="s">
        <v>76</v>
      </c>
      <c r="O1248">
        <v>998</v>
      </c>
      <c r="P1248">
        <f>_xlfn.XLOOKUP(A1248,'[1]Classic Net to delete'!D:D,'[1]Classic Net to delete'!AA:AA,0)</f>
        <v>0</v>
      </c>
    </row>
    <row r="1249" spans="1:16" x14ac:dyDescent="0.25">
      <c r="A1249" t="s">
        <v>2718</v>
      </c>
      <c r="B1249" t="s">
        <v>2719</v>
      </c>
      <c r="C1249">
        <v>3.8000000000000003</v>
      </c>
      <c r="E1249" t="str">
        <f>CONCATENATE(J1249,". ",N1249)</f>
        <v xml:space="preserve">. </v>
      </c>
      <c r="F1249">
        <v>75</v>
      </c>
      <c r="G1249" t="b">
        <v>0</v>
      </c>
      <c r="K1249" s="188" t="str">
        <f>IFERROR(_xlfn.XLOOKUP(A1249,[1]Fleet!A:A,[1]Fleet!E:E,""),"")</f>
        <v/>
      </c>
      <c r="L1249" s="188" t="s">
        <v>76</v>
      </c>
      <c r="M1249" s="188" t="s">
        <v>76</v>
      </c>
      <c r="O1249">
        <v>997</v>
      </c>
      <c r="P1249">
        <f>_xlfn.XLOOKUP(A1249,'[1]Classic Net to delete'!D:D,'[1]Classic Net to delete'!AA:AA,0)</f>
        <v>0</v>
      </c>
    </row>
    <row r="1250" spans="1:16" x14ac:dyDescent="0.25">
      <c r="A1250" t="s">
        <v>2728</v>
      </c>
      <c r="B1250" t="s">
        <v>2729</v>
      </c>
      <c r="C1250">
        <v>14.23</v>
      </c>
      <c r="E1250" t="str">
        <f>CONCATENATE(J1250,". ",N1250)</f>
        <v xml:space="preserve">. </v>
      </c>
      <c r="F1250">
        <v>75</v>
      </c>
      <c r="G1250" t="b">
        <v>0</v>
      </c>
      <c r="K1250" s="188" t="str">
        <f>IFERROR(_xlfn.XLOOKUP(A1250,[1]Fleet!A:A,[1]Fleet!E:E,""),"")</f>
        <v/>
      </c>
      <c r="L1250" s="188" t="s">
        <v>76</v>
      </c>
      <c r="M1250" s="188" t="s">
        <v>76</v>
      </c>
      <c r="O1250">
        <v>996</v>
      </c>
      <c r="P1250">
        <f>_xlfn.XLOOKUP(A1250,'[1]Classic Net to delete'!D:D,'[1]Classic Net to delete'!AA:AA,0)</f>
        <v>0</v>
      </c>
    </row>
    <row r="1251" spans="1:16" x14ac:dyDescent="0.25">
      <c r="A1251" t="s">
        <v>2730</v>
      </c>
      <c r="B1251" t="s">
        <v>2731</v>
      </c>
      <c r="C1251">
        <v>63.77</v>
      </c>
      <c r="E1251" t="str">
        <f>CONCATENATE(J1251,". ",N1251)</f>
        <v xml:space="preserve">. </v>
      </c>
      <c r="F1251">
        <v>75</v>
      </c>
      <c r="G1251" t="b">
        <v>0</v>
      </c>
      <c r="K1251" s="188" t="str">
        <f>IFERROR(_xlfn.XLOOKUP(A1251,[1]Fleet!A:A,[1]Fleet!E:E,""),"")</f>
        <v/>
      </c>
      <c r="L1251" s="188" t="s">
        <v>76</v>
      </c>
      <c r="M1251" s="188" t="s">
        <v>76</v>
      </c>
      <c r="O1251">
        <v>995</v>
      </c>
      <c r="P1251">
        <f>_xlfn.XLOOKUP(A1251,'[1]Classic Net to delete'!D:D,'[1]Classic Net to delete'!AA:AA,0)</f>
        <v>0</v>
      </c>
    </row>
    <row r="1252" spans="1:16" x14ac:dyDescent="0.25">
      <c r="A1252" t="s">
        <v>2742</v>
      </c>
      <c r="B1252" t="s">
        <v>2743</v>
      </c>
      <c r="C1252">
        <v>0</v>
      </c>
      <c r="E1252" t="str">
        <f>CONCATENATE(J1252,". ",N1252)</f>
        <v xml:space="preserve">. </v>
      </c>
      <c r="F1252">
        <v>75</v>
      </c>
      <c r="G1252" t="b">
        <v>0</v>
      </c>
      <c r="K1252" s="188" t="str">
        <f>IFERROR(_xlfn.XLOOKUP(A1252,[1]Fleet!A:A,[1]Fleet!E:E,""),"")</f>
        <v/>
      </c>
      <c r="L1252" s="188" t="s">
        <v>76</v>
      </c>
      <c r="M1252" s="188" t="s">
        <v>76</v>
      </c>
      <c r="O1252">
        <v>994</v>
      </c>
      <c r="P1252">
        <f>_xlfn.XLOOKUP(A1252,'[1]Classic Net to delete'!D:D,'[1]Classic Net to delete'!AA:AA,0)</f>
        <v>0</v>
      </c>
    </row>
    <row r="1253" spans="1:16" x14ac:dyDescent="0.25">
      <c r="A1253" t="s">
        <v>2784</v>
      </c>
      <c r="B1253" t="s">
        <v>2785</v>
      </c>
      <c r="C1253">
        <v>8.19</v>
      </c>
      <c r="E1253" t="str">
        <f>CONCATENATE(J1253,". ",N1253)</f>
        <v xml:space="preserve">. </v>
      </c>
      <c r="F1253">
        <v>75</v>
      </c>
      <c r="G1253" t="b">
        <v>0</v>
      </c>
      <c r="K1253" s="188" t="str">
        <f>IFERROR(_xlfn.XLOOKUP(A1253,[1]Fleet!A:A,[1]Fleet!E:E,""),"")</f>
        <v/>
      </c>
      <c r="L1253" s="188" t="s">
        <v>76</v>
      </c>
      <c r="M1253" s="188" t="s">
        <v>76</v>
      </c>
      <c r="O1253">
        <v>993</v>
      </c>
      <c r="P1253">
        <f>_xlfn.XLOOKUP(A1253,'[1]Classic Net to delete'!D:D,'[1]Classic Net to delete'!AA:AA,0)</f>
        <v>0</v>
      </c>
    </row>
    <row r="1254" spans="1:16" x14ac:dyDescent="0.25">
      <c r="A1254" t="s">
        <v>2786</v>
      </c>
      <c r="B1254" t="s">
        <v>2787</v>
      </c>
      <c r="C1254">
        <v>17.330000000000002</v>
      </c>
      <c r="E1254" t="str">
        <f>CONCATENATE(J1254,". ",N1254)</f>
        <v xml:space="preserve">. </v>
      </c>
      <c r="F1254">
        <v>75</v>
      </c>
      <c r="G1254" t="b">
        <v>0</v>
      </c>
      <c r="K1254" s="188" t="str">
        <f>IFERROR(_xlfn.XLOOKUP(A1254,[1]Fleet!A:A,[1]Fleet!E:E,""),"")</f>
        <v/>
      </c>
      <c r="L1254" s="188" t="s">
        <v>76</v>
      </c>
      <c r="M1254" s="188" t="s">
        <v>76</v>
      </c>
      <c r="O1254">
        <v>992</v>
      </c>
      <c r="P1254">
        <f>_xlfn.XLOOKUP(A1254,'[1]Classic Net to delete'!D:D,'[1]Classic Net to delete'!AA:AA,0)</f>
        <v>0</v>
      </c>
    </row>
    <row r="1255" spans="1:16" x14ac:dyDescent="0.25">
      <c r="A1255" t="s">
        <v>2803</v>
      </c>
      <c r="B1255" t="s">
        <v>2804</v>
      </c>
      <c r="C1255">
        <v>13.540000000000001</v>
      </c>
      <c r="E1255" t="str">
        <f>CONCATENATE(J1255,". ",N1255)</f>
        <v xml:space="preserve">. </v>
      </c>
      <c r="F1255">
        <v>75</v>
      </c>
      <c r="G1255" t="b">
        <v>0</v>
      </c>
      <c r="K1255" s="188" t="str">
        <f>IFERROR(_xlfn.XLOOKUP(A1255,[1]Fleet!A:A,[1]Fleet!E:E,""),"")</f>
        <v/>
      </c>
      <c r="L1255" s="188" t="s">
        <v>76</v>
      </c>
      <c r="M1255" s="188" t="s">
        <v>76</v>
      </c>
      <c r="O1255">
        <v>991</v>
      </c>
      <c r="P1255">
        <f>_xlfn.XLOOKUP(A1255,'[1]Classic Net to delete'!D:D,'[1]Classic Net to delete'!AA:AA,0)</f>
        <v>0</v>
      </c>
    </row>
    <row r="1256" spans="1:16" x14ac:dyDescent="0.25">
      <c r="A1256" t="s">
        <v>2830</v>
      </c>
      <c r="B1256" t="s">
        <v>2831</v>
      </c>
      <c r="C1256">
        <v>28.36</v>
      </c>
      <c r="E1256" t="str">
        <f>CONCATENATE(J1256,". ",N1256)</f>
        <v xml:space="preserve">. </v>
      </c>
      <c r="F1256">
        <v>75</v>
      </c>
      <c r="G1256" t="b">
        <v>0</v>
      </c>
      <c r="K1256" s="188" t="str">
        <f>IFERROR(_xlfn.XLOOKUP(A1256,[1]Fleet!A:A,[1]Fleet!E:E,""),"")</f>
        <v/>
      </c>
      <c r="L1256" s="188" t="s">
        <v>76</v>
      </c>
      <c r="M1256" s="188" t="s">
        <v>76</v>
      </c>
      <c r="O1256">
        <v>990</v>
      </c>
      <c r="P1256">
        <f>_xlfn.XLOOKUP(A1256,'[1]Classic Net to delete'!D:D,'[1]Classic Net to delete'!AA:AA,0)</f>
        <v>0</v>
      </c>
    </row>
    <row r="1257" spans="1:16" x14ac:dyDescent="0.25">
      <c r="A1257" t="s">
        <v>2832</v>
      </c>
      <c r="B1257" t="s">
        <v>2833</v>
      </c>
      <c r="C1257">
        <v>36.92</v>
      </c>
      <c r="E1257" t="str">
        <f>CONCATENATE(J1257,". ",N1257)</f>
        <v xml:space="preserve">. </v>
      </c>
      <c r="F1257">
        <v>75</v>
      </c>
      <c r="G1257" t="b">
        <v>0</v>
      </c>
      <c r="K1257" s="188" t="str">
        <f>IFERROR(_xlfn.XLOOKUP(A1257,[1]Fleet!A:A,[1]Fleet!E:E,""),"")</f>
        <v/>
      </c>
      <c r="L1257" s="188" t="s">
        <v>76</v>
      </c>
      <c r="M1257" s="188" t="s">
        <v>76</v>
      </c>
      <c r="O1257">
        <v>988</v>
      </c>
      <c r="P1257">
        <f>_xlfn.XLOOKUP(A1257,'[1]Classic Net to delete'!D:D,'[1]Classic Net to delete'!AA:AA,0)</f>
        <v>0</v>
      </c>
    </row>
    <row r="1258" spans="1:16" x14ac:dyDescent="0.25">
      <c r="A1258" t="s">
        <v>2832</v>
      </c>
      <c r="B1258" t="s">
        <v>2833</v>
      </c>
      <c r="C1258">
        <v>36.92</v>
      </c>
      <c r="E1258" t="str">
        <f>CONCATENATE(J1258,". ",N1258)</f>
        <v xml:space="preserve">. </v>
      </c>
      <c r="F1258">
        <v>75</v>
      </c>
      <c r="G1258" t="b">
        <v>0</v>
      </c>
      <c r="K1258" s="188" t="str">
        <f>IFERROR(_xlfn.XLOOKUP(A1258,[1]Fleet!A:A,[1]Fleet!E:E,""),"")</f>
        <v/>
      </c>
      <c r="L1258" s="188" t="s">
        <v>76</v>
      </c>
      <c r="M1258" s="188" t="s">
        <v>76</v>
      </c>
      <c r="O1258">
        <v>989</v>
      </c>
      <c r="P1258">
        <f>_xlfn.XLOOKUP(A1258,'[1]Classic Net to delete'!D:D,'[1]Classic Net to delete'!AA:AA,0)</f>
        <v>0</v>
      </c>
    </row>
    <row r="1259" spans="1:16" x14ac:dyDescent="0.25">
      <c r="A1259" t="s">
        <v>2837</v>
      </c>
      <c r="B1259" t="s">
        <v>2838</v>
      </c>
      <c r="C1259">
        <v>7.92</v>
      </c>
      <c r="E1259" t="str">
        <f>CONCATENATE(J1259,". ",N1259)</f>
        <v xml:space="preserve">. </v>
      </c>
      <c r="F1259">
        <v>75</v>
      </c>
      <c r="G1259" t="b">
        <v>0</v>
      </c>
      <c r="K1259" s="188" t="str">
        <f>IFERROR(_xlfn.XLOOKUP(A1259,[1]Fleet!A:A,[1]Fleet!E:E,""),"")</f>
        <v/>
      </c>
      <c r="L1259" s="188" t="s">
        <v>76</v>
      </c>
      <c r="M1259" s="188" t="s">
        <v>76</v>
      </c>
      <c r="O1259">
        <v>987</v>
      </c>
      <c r="P1259">
        <f>_xlfn.XLOOKUP(A1259,'[1]Classic Net to delete'!D:D,'[1]Classic Net to delete'!AA:AA,0)</f>
        <v>0</v>
      </c>
    </row>
    <row r="1260" spans="1:16" x14ac:dyDescent="0.25">
      <c r="A1260" t="s">
        <v>2839</v>
      </c>
      <c r="B1260" t="s">
        <v>2840</v>
      </c>
      <c r="C1260">
        <v>7.92</v>
      </c>
      <c r="E1260" t="str">
        <f>CONCATENATE(J1260,". ",N1260)</f>
        <v xml:space="preserve">. </v>
      </c>
      <c r="F1260">
        <v>75</v>
      </c>
      <c r="G1260" t="b">
        <v>0</v>
      </c>
      <c r="K1260" s="188" t="str">
        <f>IFERROR(_xlfn.XLOOKUP(A1260,[1]Fleet!A:A,[1]Fleet!E:E,""),"")</f>
        <v/>
      </c>
      <c r="L1260" s="188" t="s">
        <v>76</v>
      </c>
      <c r="M1260" s="188" t="s">
        <v>76</v>
      </c>
      <c r="O1260">
        <v>986</v>
      </c>
      <c r="P1260">
        <f>_xlfn.XLOOKUP(A1260,'[1]Classic Net to delete'!D:D,'[1]Classic Net to delete'!AA:AA,0)</f>
        <v>0</v>
      </c>
    </row>
    <row r="1261" spans="1:16" x14ac:dyDescent="0.25">
      <c r="A1261" t="s">
        <v>2841</v>
      </c>
      <c r="B1261" t="s">
        <v>2842</v>
      </c>
      <c r="C1261">
        <v>7.92</v>
      </c>
      <c r="E1261" t="str">
        <f>CONCATENATE(J1261,". ",N1261)</f>
        <v xml:space="preserve">. </v>
      </c>
      <c r="F1261">
        <v>75</v>
      </c>
      <c r="G1261" t="b">
        <v>0</v>
      </c>
      <c r="K1261" s="188" t="str">
        <f>IFERROR(_xlfn.XLOOKUP(A1261,[1]Fleet!A:A,[1]Fleet!E:E,""),"")</f>
        <v/>
      </c>
      <c r="L1261" s="188" t="s">
        <v>76</v>
      </c>
      <c r="M1261" s="188" t="s">
        <v>76</v>
      </c>
      <c r="O1261">
        <v>985</v>
      </c>
      <c r="P1261">
        <f>_xlfn.XLOOKUP(A1261,'[1]Classic Net to delete'!D:D,'[1]Classic Net to delete'!AA:AA,0)</f>
        <v>0</v>
      </c>
    </row>
    <row r="1262" spans="1:16" x14ac:dyDescent="0.25">
      <c r="A1262" t="s">
        <v>2843</v>
      </c>
      <c r="B1262" t="s">
        <v>2844</v>
      </c>
      <c r="C1262">
        <v>15.46</v>
      </c>
      <c r="E1262" t="str">
        <f>CONCATENATE(J1262,". ",N1262)</f>
        <v xml:space="preserve">. </v>
      </c>
      <c r="F1262">
        <v>75</v>
      </c>
      <c r="G1262" t="b">
        <v>0</v>
      </c>
      <c r="K1262" s="188" t="str">
        <f>IFERROR(_xlfn.XLOOKUP(A1262,[1]Fleet!A:A,[1]Fleet!E:E,""),"")</f>
        <v/>
      </c>
      <c r="L1262" s="188" t="s">
        <v>76</v>
      </c>
      <c r="M1262" s="188" t="s">
        <v>76</v>
      </c>
      <c r="O1262">
        <v>984</v>
      </c>
      <c r="P1262">
        <f>_xlfn.XLOOKUP(A1262,'[1]Classic Net to delete'!D:D,'[1]Classic Net to delete'!AA:AA,0)</f>
        <v>0</v>
      </c>
    </row>
    <row r="1263" spans="1:16" x14ac:dyDescent="0.25">
      <c r="A1263" t="s">
        <v>2845</v>
      </c>
      <c r="B1263" t="s">
        <v>2846</v>
      </c>
      <c r="C1263">
        <v>7.92</v>
      </c>
      <c r="E1263" t="str">
        <f>CONCATENATE(J1263,". ",N1263)</f>
        <v xml:space="preserve">. </v>
      </c>
      <c r="F1263">
        <v>75</v>
      </c>
      <c r="G1263" t="b">
        <v>0</v>
      </c>
      <c r="K1263" s="188" t="str">
        <f>IFERROR(_xlfn.XLOOKUP(A1263,[1]Fleet!A:A,[1]Fleet!E:E,""),"")</f>
        <v/>
      </c>
      <c r="L1263" s="188" t="s">
        <v>76</v>
      </c>
      <c r="M1263" s="188" t="s">
        <v>76</v>
      </c>
      <c r="O1263">
        <v>983</v>
      </c>
      <c r="P1263">
        <f>_xlfn.XLOOKUP(A1263,'[1]Classic Net to delete'!D:D,'[1]Classic Net to delete'!AA:AA,0)</f>
        <v>0</v>
      </c>
    </row>
    <row r="1264" spans="1:16" x14ac:dyDescent="0.25">
      <c r="A1264" t="s">
        <v>2847</v>
      </c>
      <c r="B1264" t="s">
        <v>2848</v>
      </c>
      <c r="C1264">
        <v>7.92</v>
      </c>
      <c r="E1264" t="str">
        <f>CONCATENATE(J1264,". ",N1264)</f>
        <v xml:space="preserve">. </v>
      </c>
      <c r="F1264">
        <v>75</v>
      </c>
      <c r="G1264" t="b">
        <v>0</v>
      </c>
      <c r="K1264" s="188" t="str">
        <f>IFERROR(_xlfn.XLOOKUP(A1264,[1]Fleet!A:A,[1]Fleet!E:E,""),"")</f>
        <v/>
      </c>
      <c r="L1264" s="188" t="s">
        <v>76</v>
      </c>
      <c r="M1264" s="188" t="s">
        <v>76</v>
      </c>
      <c r="O1264">
        <v>982</v>
      </c>
      <c r="P1264">
        <f>_xlfn.XLOOKUP(A1264,'[1]Classic Net to delete'!D:D,'[1]Classic Net to delete'!AA:AA,0)</f>
        <v>0</v>
      </c>
    </row>
    <row r="1265" spans="1:16" x14ac:dyDescent="0.25">
      <c r="A1265" t="s">
        <v>2849</v>
      </c>
      <c r="B1265" t="s">
        <v>2850</v>
      </c>
      <c r="C1265">
        <v>7.92</v>
      </c>
      <c r="E1265" t="str">
        <f>CONCATENATE(J1265,". ",N1265)</f>
        <v xml:space="preserve">. </v>
      </c>
      <c r="F1265">
        <v>75</v>
      </c>
      <c r="G1265" t="b">
        <v>0</v>
      </c>
      <c r="K1265" s="188" t="str">
        <f>IFERROR(_xlfn.XLOOKUP(A1265,[1]Fleet!A:A,[1]Fleet!E:E,""),"")</f>
        <v/>
      </c>
      <c r="L1265" s="188" t="s">
        <v>76</v>
      </c>
      <c r="M1265" s="188" t="s">
        <v>76</v>
      </c>
      <c r="O1265">
        <v>981</v>
      </c>
      <c r="P1265">
        <f>_xlfn.XLOOKUP(A1265,'[1]Classic Net to delete'!D:D,'[1]Classic Net to delete'!AA:AA,0)</f>
        <v>0</v>
      </c>
    </row>
    <row r="1266" spans="1:16" x14ac:dyDescent="0.25">
      <c r="A1266" t="s">
        <v>2851</v>
      </c>
      <c r="B1266" t="s">
        <v>2852</v>
      </c>
      <c r="C1266">
        <v>7.92</v>
      </c>
      <c r="E1266" t="str">
        <f>CONCATENATE(J1266,". ",N1266)</f>
        <v xml:space="preserve">. </v>
      </c>
      <c r="F1266">
        <v>75</v>
      </c>
      <c r="G1266" t="b">
        <v>0</v>
      </c>
      <c r="K1266" s="188" t="str">
        <f>IFERROR(_xlfn.XLOOKUP(A1266,[1]Fleet!A:A,[1]Fleet!E:E,""),"")</f>
        <v/>
      </c>
      <c r="L1266" s="188" t="s">
        <v>76</v>
      </c>
      <c r="M1266" s="188" t="s">
        <v>76</v>
      </c>
      <c r="O1266">
        <v>980</v>
      </c>
      <c r="P1266">
        <f>_xlfn.XLOOKUP(A1266,'[1]Classic Net to delete'!D:D,'[1]Classic Net to delete'!AA:AA,0)</f>
        <v>0</v>
      </c>
    </row>
    <row r="1267" spans="1:16" x14ac:dyDescent="0.25">
      <c r="A1267" t="s">
        <v>2853</v>
      </c>
      <c r="B1267" t="s">
        <v>2854</v>
      </c>
      <c r="C1267">
        <v>15.46</v>
      </c>
      <c r="E1267" t="str">
        <f>CONCATENATE(J1267,". ",N1267)</f>
        <v xml:space="preserve">. </v>
      </c>
      <c r="F1267">
        <v>75</v>
      </c>
      <c r="G1267" t="b">
        <v>0</v>
      </c>
      <c r="K1267" s="188" t="str">
        <f>IFERROR(_xlfn.XLOOKUP(A1267,[1]Fleet!A:A,[1]Fleet!E:E,""),"")</f>
        <v/>
      </c>
      <c r="L1267" s="188" t="s">
        <v>76</v>
      </c>
      <c r="M1267" s="188" t="s">
        <v>76</v>
      </c>
      <c r="O1267">
        <v>979</v>
      </c>
      <c r="P1267">
        <f>_xlfn.XLOOKUP(A1267,'[1]Classic Net to delete'!D:D,'[1]Classic Net to delete'!AA:AA,0)</f>
        <v>0</v>
      </c>
    </row>
    <row r="1268" spans="1:16" x14ac:dyDescent="0.25">
      <c r="A1268" t="s">
        <v>2855</v>
      </c>
      <c r="B1268" t="s">
        <v>2856</v>
      </c>
      <c r="C1268">
        <v>15.46</v>
      </c>
      <c r="E1268" t="str">
        <f>CONCATENATE(J1268,". ",N1268)</f>
        <v xml:space="preserve">. </v>
      </c>
      <c r="F1268">
        <v>75</v>
      </c>
      <c r="G1268" t="b">
        <v>0</v>
      </c>
      <c r="K1268" s="188" t="str">
        <f>IFERROR(_xlfn.XLOOKUP(A1268,[1]Fleet!A:A,[1]Fleet!E:E,""),"")</f>
        <v/>
      </c>
      <c r="L1268" s="188" t="s">
        <v>76</v>
      </c>
      <c r="M1268" s="188" t="s">
        <v>76</v>
      </c>
      <c r="O1268">
        <v>978</v>
      </c>
      <c r="P1268">
        <f>_xlfn.XLOOKUP(A1268,'[1]Classic Net to delete'!D:D,'[1]Classic Net to delete'!AA:AA,0)</f>
        <v>0</v>
      </c>
    </row>
    <row r="1269" spans="1:16" x14ac:dyDescent="0.25">
      <c r="A1269" t="s">
        <v>2191</v>
      </c>
      <c r="B1269" t="s">
        <v>2192</v>
      </c>
      <c r="C1269">
        <v>0</v>
      </c>
      <c r="E1269" t="str">
        <f>CONCATENATE(J1269,". ",N1269)</f>
        <v>. Accessories</v>
      </c>
      <c r="F1269">
        <v>75</v>
      </c>
      <c r="G1269" t="b">
        <v>0</v>
      </c>
      <c r="K1269" s="188" t="str">
        <f>IFERROR(_xlfn.XLOOKUP(A1269,[1]Fleet!A:A,[1]Fleet!E:E,""),"")</f>
        <v/>
      </c>
      <c r="L1269" s="188" t="s">
        <v>76</v>
      </c>
      <c r="M1269" s="188" t="s">
        <v>76</v>
      </c>
      <c r="N1269" s="188" t="s">
        <v>840</v>
      </c>
      <c r="O1269">
        <v>1273</v>
      </c>
      <c r="P1269">
        <f>_xlfn.XLOOKUP(A1269,'[1]Classic Net to delete'!D:D,'[1]Classic Net to delete'!AA:AA,0)</f>
        <v>0</v>
      </c>
    </row>
    <row r="1270" spans="1:16" x14ac:dyDescent="0.25">
      <c r="A1270" t="s">
        <v>2266</v>
      </c>
      <c r="B1270" t="s">
        <v>2267</v>
      </c>
      <c r="C1270">
        <v>0</v>
      </c>
      <c r="E1270" t="str">
        <f>CONCATENATE(J1270,". ",N1270)</f>
        <v>. Accessories</v>
      </c>
      <c r="F1270">
        <v>75</v>
      </c>
      <c r="G1270" t="b">
        <v>0</v>
      </c>
      <c r="K1270" s="188" t="str">
        <f>IFERROR(_xlfn.XLOOKUP(A1270,[1]Fleet!A:A,[1]Fleet!E:E,""),"")</f>
        <v/>
      </c>
      <c r="L1270" s="188" t="s">
        <v>76</v>
      </c>
      <c r="M1270" s="188" t="s">
        <v>76</v>
      </c>
      <c r="N1270" s="188" t="s">
        <v>840</v>
      </c>
      <c r="O1270">
        <v>1271</v>
      </c>
      <c r="P1270">
        <f>_xlfn.XLOOKUP(A1270,'[1]Classic Net to delete'!D:D,'[1]Classic Net to delete'!AA:AA,0)</f>
        <v>0</v>
      </c>
    </row>
    <row r="1271" spans="1:16" x14ac:dyDescent="0.25">
      <c r="A1271" t="s">
        <v>2328</v>
      </c>
      <c r="B1271" t="s">
        <v>2329</v>
      </c>
      <c r="C1271">
        <v>0</v>
      </c>
      <c r="E1271" t="str">
        <f>CONCATENATE(J1271,". ",N1271)</f>
        <v>. Accessories</v>
      </c>
      <c r="F1271">
        <v>75</v>
      </c>
      <c r="G1271" t="b">
        <v>0</v>
      </c>
      <c r="K1271" s="188" t="str">
        <f>IFERROR(_xlfn.XLOOKUP(A1271,[1]Fleet!A:A,[1]Fleet!E:E,""),"")</f>
        <v/>
      </c>
      <c r="L1271" s="188" t="s">
        <v>76</v>
      </c>
      <c r="M1271" s="188" t="s">
        <v>76</v>
      </c>
      <c r="N1271" s="188" t="s">
        <v>840</v>
      </c>
      <c r="O1271">
        <v>1275</v>
      </c>
      <c r="P1271">
        <f>_xlfn.XLOOKUP(A1271,'[1]Classic Net to delete'!D:D,'[1]Classic Net to delete'!AA:AA,0)</f>
        <v>0</v>
      </c>
    </row>
    <row r="1272" spans="1:16" x14ac:dyDescent="0.25">
      <c r="A1272" t="s">
        <v>2532</v>
      </c>
      <c r="B1272" t="s">
        <v>2533</v>
      </c>
      <c r="C1272">
        <v>0</v>
      </c>
      <c r="E1272" t="str">
        <f>CONCATENATE(J1272,". ",N1272)</f>
        <v>. Accessories</v>
      </c>
      <c r="F1272">
        <v>75</v>
      </c>
      <c r="G1272" t="b">
        <v>0</v>
      </c>
      <c r="K1272" s="188" t="str">
        <f>IFERROR(_xlfn.XLOOKUP(A1272,[1]Fleet!A:A,[1]Fleet!E:E,""),"")</f>
        <v/>
      </c>
      <c r="L1272" s="188" t="s">
        <v>76</v>
      </c>
      <c r="M1272" s="188" t="s">
        <v>76</v>
      </c>
      <c r="N1272" s="188" t="s">
        <v>840</v>
      </c>
      <c r="O1272">
        <v>1276</v>
      </c>
      <c r="P1272">
        <f>_xlfn.XLOOKUP(A1272,'[1]Classic Net to delete'!D:D,'[1]Classic Net to delete'!AA:AA,0)</f>
        <v>0</v>
      </c>
    </row>
    <row r="1273" spans="1:16" x14ac:dyDescent="0.25">
      <c r="A1273" t="s">
        <v>2532</v>
      </c>
      <c r="B1273" t="s">
        <v>2534</v>
      </c>
      <c r="C1273">
        <v>0</v>
      </c>
      <c r="E1273" t="str">
        <f>CONCATENATE(J1273,". ",N1273)</f>
        <v>. Accessories</v>
      </c>
      <c r="F1273">
        <v>75</v>
      </c>
      <c r="G1273" t="b">
        <v>0</v>
      </c>
      <c r="K1273" s="188" t="str">
        <f>IFERROR(_xlfn.XLOOKUP(A1273,[1]Fleet!A:A,[1]Fleet!E:E,""),"")</f>
        <v/>
      </c>
      <c r="L1273" s="188" t="s">
        <v>76</v>
      </c>
      <c r="M1273" s="188" t="s">
        <v>76</v>
      </c>
      <c r="N1273" s="188" t="s">
        <v>840</v>
      </c>
      <c r="O1273">
        <v>1277</v>
      </c>
      <c r="P1273">
        <f>_xlfn.XLOOKUP(A1273,'[1]Classic Net to delete'!D:D,'[1]Classic Net to delete'!AA:AA,0)</f>
        <v>0</v>
      </c>
    </row>
    <row r="1274" spans="1:16" x14ac:dyDescent="0.25">
      <c r="A1274" t="s">
        <v>2532</v>
      </c>
      <c r="B1274" t="s">
        <v>2535</v>
      </c>
      <c r="C1274">
        <v>0</v>
      </c>
      <c r="E1274" t="str">
        <f>CONCATENATE(J1274,". ",N1274)</f>
        <v>. Accessories</v>
      </c>
      <c r="F1274">
        <v>75</v>
      </c>
      <c r="G1274" t="b">
        <v>0</v>
      </c>
      <c r="K1274" s="188" t="str">
        <f>IFERROR(_xlfn.XLOOKUP(A1274,[1]Fleet!A:A,[1]Fleet!E:E,""),"")</f>
        <v/>
      </c>
      <c r="L1274" s="188" t="s">
        <v>76</v>
      </c>
      <c r="M1274" s="188" t="s">
        <v>76</v>
      </c>
      <c r="N1274" s="188" t="s">
        <v>840</v>
      </c>
      <c r="O1274">
        <v>1278</v>
      </c>
      <c r="P1274">
        <f>_xlfn.XLOOKUP(A1274,'[1]Classic Net to delete'!D:D,'[1]Classic Net to delete'!AA:AA,0)</f>
        <v>0</v>
      </c>
    </row>
    <row r="1275" spans="1:16" x14ac:dyDescent="0.25">
      <c r="A1275" t="s">
        <v>2532</v>
      </c>
      <c r="B1275" t="s">
        <v>2536</v>
      </c>
      <c r="C1275">
        <v>0</v>
      </c>
      <c r="E1275" t="str">
        <f>CONCATENATE(J1275,". ",N1275)</f>
        <v>. Accessories</v>
      </c>
      <c r="F1275">
        <v>75</v>
      </c>
      <c r="G1275" t="b">
        <v>0</v>
      </c>
      <c r="K1275" s="188" t="str">
        <f>IFERROR(_xlfn.XLOOKUP(A1275,[1]Fleet!A:A,[1]Fleet!E:E,""),"")</f>
        <v/>
      </c>
      <c r="L1275" s="188" t="s">
        <v>76</v>
      </c>
      <c r="M1275" s="188" t="s">
        <v>76</v>
      </c>
      <c r="N1275" s="188" t="s">
        <v>840</v>
      </c>
      <c r="O1275">
        <v>1279</v>
      </c>
      <c r="P1275">
        <f>_xlfn.XLOOKUP(A1275,'[1]Classic Net to delete'!D:D,'[1]Classic Net to delete'!AA:AA,0)</f>
        <v>0</v>
      </c>
    </row>
    <row r="1276" spans="1:16" x14ac:dyDescent="0.25">
      <c r="A1276" t="s">
        <v>2532</v>
      </c>
      <c r="B1276" t="s">
        <v>2537</v>
      </c>
      <c r="C1276">
        <v>0</v>
      </c>
      <c r="E1276" t="str">
        <f>CONCATENATE(J1276,". ",N1276)</f>
        <v>. Accessories</v>
      </c>
      <c r="F1276">
        <v>75</v>
      </c>
      <c r="G1276" t="b">
        <v>0</v>
      </c>
      <c r="K1276" s="188" t="str">
        <f>IFERROR(_xlfn.XLOOKUP(A1276,[1]Fleet!A:A,[1]Fleet!E:E,""),"")</f>
        <v/>
      </c>
      <c r="L1276" s="188" t="s">
        <v>76</v>
      </c>
      <c r="M1276" s="188" t="s">
        <v>76</v>
      </c>
      <c r="N1276" s="188" t="s">
        <v>840</v>
      </c>
      <c r="O1276">
        <v>1280</v>
      </c>
      <c r="P1276">
        <f>_xlfn.XLOOKUP(A1276,'[1]Classic Net to delete'!D:D,'[1]Classic Net to delete'!AA:AA,0)</f>
        <v>0</v>
      </c>
    </row>
    <row r="1277" spans="1:16" x14ac:dyDescent="0.25">
      <c r="A1277" t="s">
        <v>2532</v>
      </c>
      <c r="B1277" t="s">
        <v>2538</v>
      </c>
      <c r="C1277">
        <v>0</v>
      </c>
      <c r="E1277" t="str">
        <f>CONCATENATE(J1277,". ",N1277)</f>
        <v>. Accessories</v>
      </c>
      <c r="F1277">
        <v>75</v>
      </c>
      <c r="G1277" t="b">
        <v>0</v>
      </c>
      <c r="K1277" s="188" t="str">
        <f>IFERROR(_xlfn.XLOOKUP(A1277,[1]Fleet!A:A,[1]Fleet!E:E,""),"")</f>
        <v/>
      </c>
      <c r="L1277" s="188" t="s">
        <v>76</v>
      </c>
      <c r="M1277" s="188" t="s">
        <v>76</v>
      </c>
      <c r="N1277" s="188" t="s">
        <v>840</v>
      </c>
      <c r="O1277">
        <v>1281</v>
      </c>
      <c r="P1277">
        <f>_xlfn.XLOOKUP(A1277,'[1]Classic Net to delete'!D:D,'[1]Classic Net to delete'!AA:AA,0)</f>
        <v>0</v>
      </c>
    </row>
    <row r="1278" spans="1:16" x14ac:dyDescent="0.25">
      <c r="A1278" t="s">
        <v>2532</v>
      </c>
      <c r="B1278" t="s">
        <v>2539</v>
      </c>
      <c r="C1278">
        <v>0</v>
      </c>
      <c r="E1278" t="str">
        <f>CONCATENATE(J1278,". ",N1278)</f>
        <v>. Accessories</v>
      </c>
      <c r="F1278">
        <v>75</v>
      </c>
      <c r="G1278" t="b">
        <v>0</v>
      </c>
      <c r="K1278" s="188" t="str">
        <f>IFERROR(_xlfn.XLOOKUP(A1278,[1]Fleet!A:A,[1]Fleet!E:E,""),"")</f>
        <v/>
      </c>
      <c r="L1278" s="188" t="s">
        <v>76</v>
      </c>
      <c r="M1278" s="188" t="s">
        <v>76</v>
      </c>
      <c r="N1278" s="188" t="s">
        <v>840</v>
      </c>
      <c r="O1278">
        <v>1282</v>
      </c>
      <c r="P1278">
        <f>_xlfn.XLOOKUP(A1278,'[1]Classic Net to delete'!D:D,'[1]Classic Net to delete'!AA:AA,0)</f>
        <v>0</v>
      </c>
    </row>
    <row r="1279" spans="1:16" x14ac:dyDescent="0.25">
      <c r="A1279" t="s">
        <v>2532</v>
      </c>
      <c r="B1279" t="s">
        <v>2540</v>
      </c>
      <c r="C1279">
        <v>0</v>
      </c>
      <c r="E1279" t="str">
        <f>CONCATENATE(J1279,". ",N1279)</f>
        <v>. Accessories</v>
      </c>
      <c r="F1279">
        <v>75</v>
      </c>
      <c r="G1279" t="b">
        <v>0</v>
      </c>
      <c r="K1279" s="188" t="str">
        <f>IFERROR(_xlfn.XLOOKUP(A1279,[1]Fleet!A:A,[1]Fleet!E:E,""),"")</f>
        <v/>
      </c>
      <c r="L1279" s="188" t="s">
        <v>76</v>
      </c>
      <c r="M1279" s="188" t="s">
        <v>76</v>
      </c>
      <c r="N1279" s="188" t="s">
        <v>840</v>
      </c>
      <c r="O1279">
        <v>1283</v>
      </c>
      <c r="P1279">
        <f>_xlfn.XLOOKUP(A1279,'[1]Classic Net to delete'!D:D,'[1]Classic Net to delete'!AA:AA,0)</f>
        <v>0</v>
      </c>
    </row>
    <row r="1280" spans="1:16" x14ac:dyDescent="0.25">
      <c r="A1280" t="s">
        <v>2532</v>
      </c>
      <c r="B1280" t="s">
        <v>2541</v>
      </c>
      <c r="C1280">
        <v>0</v>
      </c>
      <c r="E1280" t="str">
        <f>CONCATENATE(J1280,". ",N1280)</f>
        <v>. Accessories</v>
      </c>
      <c r="F1280">
        <v>75</v>
      </c>
      <c r="G1280" t="b">
        <v>0</v>
      </c>
      <c r="K1280" s="188" t="str">
        <f>IFERROR(_xlfn.XLOOKUP(A1280,[1]Fleet!A:A,[1]Fleet!E:E,""),"")</f>
        <v/>
      </c>
      <c r="L1280" s="188" t="s">
        <v>76</v>
      </c>
      <c r="M1280" s="188" t="s">
        <v>76</v>
      </c>
      <c r="N1280" s="188" t="s">
        <v>840</v>
      </c>
      <c r="O1280">
        <v>1284</v>
      </c>
      <c r="P1280">
        <f>_xlfn.XLOOKUP(A1280,'[1]Classic Net to delete'!D:D,'[1]Classic Net to delete'!AA:AA,0)</f>
        <v>0</v>
      </c>
    </row>
    <row r="1281" spans="1:16" x14ac:dyDescent="0.25">
      <c r="A1281" t="s">
        <v>2532</v>
      </c>
      <c r="B1281" t="s">
        <v>2542</v>
      </c>
      <c r="C1281">
        <v>0</v>
      </c>
      <c r="E1281" t="str">
        <f>CONCATENATE(J1281,". ",N1281)</f>
        <v>. Accessories</v>
      </c>
      <c r="F1281">
        <v>75</v>
      </c>
      <c r="G1281" t="b">
        <v>0</v>
      </c>
      <c r="K1281" s="188" t="str">
        <f>IFERROR(_xlfn.XLOOKUP(A1281,[1]Fleet!A:A,[1]Fleet!E:E,""),"")</f>
        <v/>
      </c>
      <c r="L1281" s="188" t="s">
        <v>76</v>
      </c>
      <c r="M1281" s="188" t="s">
        <v>76</v>
      </c>
      <c r="N1281" s="188" t="s">
        <v>840</v>
      </c>
      <c r="O1281">
        <v>1285</v>
      </c>
      <c r="P1281">
        <f>_xlfn.XLOOKUP(A1281,'[1]Classic Net to delete'!D:D,'[1]Classic Net to delete'!AA:AA,0)</f>
        <v>0</v>
      </c>
    </row>
    <row r="1282" spans="1:16" x14ac:dyDescent="0.25">
      <c r="A1282" t="s">
        <v>2532</v>
      </c>
      <c r="B1282" t="s">
        <v>2543</v>
      </c>
      <c r="C1282">
        <v>0</v>
      </c>
      <c r="E1282" t="str">
        <f>CONCATENATE(J1282,". ",N1282)</f>
        <v>. Accessories</v>
      </c>
      <c r="F1282">
        <v>75</v>
      </c>
      <c r="G1282" t="b">
        <v>0</v>
      </c>
      <c r="K1282" s="188" t="str">
        <f>IFERROR(_xlfn.XLOOKUP(A1282,[1]Fleet!A:A,[1]Fleet!E:E,""),"")</f>
        <v/>
      </c>
      <c r="L1282" s="188" t="s">
        <v>76</v>
      </c>
      <c r="M1282" s="188" t="s">
        <v>76</v>
      </c>
      <c r="N1282" s="188" t="s">
        <v>840</v>
      </c>
      <c r="O1282">
        <v>1286</v>
      </c>
      <c r="P1282">
        <f>_xlfn.XLOOKUP(A1282,'[1]Classic Net to delete'!D:D,'[1]Classic Net to delete'!AA:AA,0)</f>
        <v>0</v>
      </c>
    </row>
    <row r="1283" spans="1:16" x14ac:dyDescent="0.25">
      <c r="A1283" t="s">
        <v>2532</v>
      </c>
      <c r="B1283" t="s">
        <v>2544</v>
      </c>
      <c r="C1283">
        <v>0</v>
      </c>
      <c r="E1283" t="str">
        <f>CONCATENATE(J1283,". ",N1283)</f>
        <v>. Accessories</v>
      </c>
      <c r="F1283">
        <v>75</v>
      </c>
      <c r="G1283" t="b">
        <v>0</v>
      </c>
      <c r="K1283" s="188" t="str">
        <f>IFERROR(_xlfn.XLOOKUP(A1283,[1]Fleet!A:A,[1]Fleet!E:E,""),"")</f>
        <v/>
      </c>
      <c r="L1283" s="188" t="s">
        <v>76</v>
      </c>
      <c r="M1283" s="188" t="s">
        <v>76</v>
      </c>
      <c r="N1283" s="188" t="s">
        <v>840</v>
      </c>
      <c r="O1283">
        <v>1287</v>
      </c>
      <c r="P1283">
        <f>_xlfn.XLOOKUP(A1283,'[1]Classic Net to delete'!D:D,'[1]Classic Net to delete'!AA:AA,0)</f>
        <v>0</v>
      </c>
    </row>
    <row r="1284" spans="1:16" x14ac:dyDescent="0.25">
      <c r="A1284" t="s">
        <v>2532</v>
      </c>
      <c r="B1284" t="s">
        <v>2545</v>
      </c>
      <c r="C1284">
        <v>0</v>
      </c>
      <c r="E1284" t="str">
        <f>CONCATENATE(J1284,". ",N1284)</f>
        <v>. Accessories</v>
      </c>
      <c r="F1284">
        <v>75</v>
      </c>
      <c r="G1284" t="b">
        <v>0</v>
      </c>
      <c r="K1284" s="188" t="str">
        <f>IFERROR(_xlfn.XLOOKUP(A1284,[1]Fleet!A:A,[1]Fleet!E:E,""),"")</f>
        <v/>
      </c>
      <c r="L1284" s="188" t="s">
        <v>76</v>
      </c>
      <c r="M1284" s="188" t="s">
        <v>76</v>
      </c>
      <c r="N1284" s="188" t="s">
        <v>840</v>
      </c>
      <c r="O1284">
        <v>1288</v>
      </c>
      <c r="P1284">
        <f>_xlfn.XLOOKUP(A1284,'[1]Classic Net to delete'!D:D,'[1]Classic Net to delete'!AA:AA,0)</f>
        <v>0</v>
      </c>
    </row>
    <row r="1285" spans="1:16" x14ac:dyDescent="0.25">
      <c r="A1285" t="s">
        <v>2532</v>
      </c>
      <c r="B1285" t="s">
        <v>2546</v>
      </c>
      <c r="C1285">
        <v>0</v>
      </c>
      <c r="E1285" t="str">
        <f>CONCATENATE(J1285,". ",N1285)</f>
        <v>. Accessories</v>
      </c>
      <c r="F1285">
        <v>75</v>
      </c>
      <c r="G1285" t="b">
        <v>0</v>
      </c>
      <c r="K1285" s="188" t="str">
        <f>IFERROR(_xlfn.XLOOKUP(A1285,[1]Fleet!A:A,[1]Fleet!E:E,""),"")</f>
        <v/>
      </c>
      <c r="L1285" s="188" t="s">
        <v>76</v>
      </c>
      <c r="M1285" s="188" t="s">
        <v>76</v>
      </c>
      <c r="N1285" s="188" t="s">
        <v>840</v>
      </c>
      <c r="O1285">
        <v>1289</v>
      </c>
      <c r="P1285">
        <f>_xlfn.XLOOKUP(A1285,'[1]Classic Net to delete'!D:D,'[1]Classic Net to delete'!AA:AA,0)</f>
        <v>0</v>
      </c>
    </row>
    <row r="1286" spans="1:16" x14ac:dyDescent="0.25">
      <c r="A1286" t="s">
        <v>2532</v>
      </c>
      <c r="B1286" t="s">
        <v>2547</v>
      </c>
      <c r="C1286">
        <v>0</v>
      </c>
      <c r="E1286" t="str">
        <f>CONCATENATE(J1286,". ",N1286)</f>
        <v>. Accessories</v>
      </c>
      <c r="F1286">
        <v>75</v>
      </c>
      <c r="G1286" t="b">
        <v>0</v>
      </c>
      <c r="K1286" s="188" t="str">
        <f>IFERROR(_xlfn.XLOOKUP(A1286,[1]Fleet!A:A,[1]Fleet!E:E,""),"")</f>
        <v/>
      </c>
      <c r="L1286" s="188" t="s">
        <v>76</v>
      </c>
      <c r="M1286" s="188" t="s">
        <v>76</v>
      </c>
      <c r="N1286" s="188" t="s">
        <v>840</v>
      </c>
      <c r="O1286">
        <v>1290</v>
      </c>
      <c r="P1286">
        <f>_xlfn.XLOOKUP(A1286,'[1]Classic Net to delete'!D:D,'[1]Classic Net to delete'!AA:AA,0)</f>
        <v>0</v>
      </c>
    </row>
    <row r="1287" spans="1:16" x14ac:dyDescent="0.25">
      <c r="A1287" t="s">
        <v>2532</v>
      </c>
      <c r="B1287" t="s">
        <v>2548</v>
      </c>
      <c r="C1287">
        <v>0</v>
      </c>
      <c r="E1287" t="str">
        <f>CONCATENATE(J1287,". ",N1287)</f>
        <v>. Accessories</v>
      </c>
      <c r="F1287">
        <v>75</v>
      </c>
      <c r="G1287" t="b">
        <v>0</v>
      </c>
      <c r="K1287" s="188" t="str">
        <f>IFERROR(_xlfn.XLOOKUP(A1287,[1]Fleet!A:A,[1]Fleet!E:E,""),"")</f>
        <v/>
      </c>
      <c r="L1287" s="188" t="s">
        <v>76</v>
      </c>
      <c r="M1287" s="188" t="s">
        <v>76</v>
      </c>
      <c r="N1287" s="188" t="s">
        <v>840</v>
      </c>
      <c r="O1287">
        <v>1291</v>
      </c>
      <c r="P1287">
        <f>_xlfn.XLOOKUP(A1287,'[1]Classic Net to delete'!D:D,'[1]Classic Net to delete'!AA:AA,0)</f>
        <v>0</v>
      </c>
    </row>
    <row r="1288" spans="1:16" x14ac:dyDescent="0.25">
      <c r="A1288" t="s">
        <v>2532</v>
      </c>
      <c r="B1288" t="s">
        <v>2549</v>
      </c>
      <c r="C1288">
        <v>0</v>
      </c>
      <c r="E1288" t="str">
        <f>CONCATENATE(J1288,". ",N1288)</f>
        <v>. Accessories</v>
      </c>
      <c r="F1288">
        <v>75</v>
      </c>
      <c r="G1288" t="b">
        <v>0</v>
      </c>
      <c r="K1288" s="188" t="str">
        <f>IFERROR(_xlfn.XLOOKUP(A1288,[1]Fleet!A:A,[1]Fleet!E:E,""),"")</f>
        <v/>
      </c>
      <c r="L1288" s="188" t="s">
        <v>76</v>
      </c>
      <c r="M1288" s="188" t="s">
        <v>76</v>
      </c>
      <c r="N1288" s="188" t="s">
        <v>840</v>
      </c>
      <c r="O1288">
        <v>1292</v>
      </c>
      <c r="P1288">
        <f>_xlfn.XLOOKUP(A1288,'[1]Classic Net to delete'!D:D,'[1]Classic Net to delete'!AA:AA,0)</f>
        <v>0</v>
      </c>
    </row>
    <row r="1289" spans="1:16" x14ac:dyDescent="0.25">
      <c r="A1289" t="s">
        <v>2877</v>
      </c>
      <c r="B1289" t="s">
        <v>2878</v>
      </c>
      <c r="C1289">
        <v>0</v>
      </c>
      <c r="E1289" t="str">
        <f>CONCATENATE(J1289,". ",N1289)</f>
        <v>. Accessories</v>
      </c>
      <c r="F1289">
        <v>75</v>
      </c>
      <c r="G1289" t="b">
        <v>0</v>
      </c>
      <c r="K1289" s="188" t="str">
        <f>IFERROR(_xlfn.XLOOKUP(A1289,[1]Fleet!A:A,[1]Fleet!E:E,""),"")</f>
        <v/>
      </c>
      <c r="L1289" s="188" t="s">
        <v>76</v>
      </c>
      <c r="M1289" s="188" t="s">
        <v>76</v>
      </c>
      <c r="N1289" s="188" t="s">
        <v>840</v>
      </c>
      <c r="O1289">
        <v>1272</v>
      </c>
      <c r="P1289">
        <f>_xlfn.XLOOKUP(A1289,'[1]Classic Net to delete'!D:D,'[1]Classic Net to delete'!AA:AA,0)</f>
        <v>0</v>
      </c>
    </row>
    <row r="1290" spans="1:16" x14ac:dyDescent="0.25">
      <c r="A1290" t="s">
        <v>2881</v>
      </c>
      <c r="B1290" t="s">
        <v>2882</v>
      </c>
      <c r="C1290">
        <v>0</v>
      </c>
      <c r="E1290" t="str">
        <f>CONCATENATE(J1290,". ",N1290)</f>
        <v>. Accessories</v>
      </c>
      <c r="F1290">
        <v>75</v>
      </c>
      <c r="G1290" t="b">
        <v>0</v>
      </c>
      <c r="K1290" s="188" t="str">
        <f>IFERROR(_xlfn.XLOOKUP(A1290,[1]Fleet!A:A,[1]Fleet!E:E,""),"")</f>
        <v/>
      </c>
      <c r="L1290" s="188" t="s">
        <v>76</v>
      </c>
      <c r="M1290" s="188" t="s">
        <v>76</v>
      </c>
      <c r="N1290" s="188" t="s">
        <v>840</v>
      </c>
      <c r="O1290">
        <v>1274</v>
      </c>
      <c r="P1290">
        <f>_xlfn.XLOOKUP(A1290,'[1]Classic Net to delete'!D:D,'[1]Classic Net to delete'!AA:AA,0)</f>
        <v>0</v>
      </c>
    </row>
    <row r="1291" spans="1:16" x14ac:dyDescent="0.25">
      <c r="A1291" t="s">
        <v>2881</v>
      </c>
      <c r="B1291" t="s">
        <v>2883</v>
      </c>
      <c r="C1291">
        <v>0</v>
      </c>
      <c r="E1291" t="str">
        <f>CONCATENATE(J1291,". ",N1291)</f>
        <v>. Accessories</v>
      </c>
      <c r="F1291">
        <v>75</v>
      </c>
      <c r="G1291" t="b">
        <v>0</v>
      </c>
      <c r="K1291" s="188" t="str">
        <f>IFERROR(_xlfn.XLOOKUP(A1291,[1]Fleet!A:A,[1]Fleet!E:E,""),"")</f>
        <v/>
      </c>
      <c r="L1291" s="188" t="s">
        <v>76</v>
      </c>
      <c r="M1291" s="188" t="s">
        <v>76</v>
      </c>
      <c r="N1291" s="188" t="s">
        <v>840</v>
      </c>
      <c r="O1291">
        <v>1293</v>
      </c>
      <c r="P1291">
        <f>_xlfn.XLOOKUP(A1291,'[1]Classic Net to delete'!D:D,'[1]Classic Net to delete'!AA:AA,0)</f>
        <v>0</v>
      </c>
    </row>
    <row r="1292" spans="1:16" x14ac:dyDescent="0.25">
      <c r="A1292" t="s">
        <v>2884</v>
      </c>
      <c r="B1292" t="s">
        <v>2885</v>
      </c>
      <c r="C1292">
        <v>0</v>
      </c>
      <c r="E1292" t="str">
        <f>CONCATENATE(J1292,". ",N1292)</f>
        <v>. TBC</v>
      </c>
      <c r="F1292">
        <v>75</v>
      </c>
      <c r="G1292" t="b">
        <v>0</v>
      </c>
      <c r="K1292" s="188">
        <f>IFERROR(_xlfn.XLOOKUP(A1292,[1]Fleet!A:A,[1]Fleet!E:E,""),"")</f>
        <v>2</v>
      </c>
      <c r="L1292" s="188" t="s">
        <v>76</v>
      </c>
      <c r="M1292" s="188" t="s">
        <v>76</v>
      </c>
      <c r="N1292" s="188" t="s">
        <v>1712</v>
      </c>
      <c r="O1292">
        <v>1297</v>
      </c>
      <c r="P1292">
        <f>_xlfn.XLOOKUP(A1292,'[1]Classic Net to delete'!D:D,'[1]Classic Net to delete'!AA:AA,0)</f>
        <v>0</v>
      </c>
    </row>
    <row r="1293" spans="1:16" x14ac:dyDescent="0.25">
      <c r="A1293" t="s">
        <v>2886</v>
      </c>
      <c r="B1293" t="s">
        <v>2887</v>
      </c>
      <c r="C1293">
        <v>0</v>
      </c>
      <c r="E1293" t="str">
        <f>CONCATENATE(J1293,". ",N1293)</f>
        <v>. TBC</v>
      </c>
      <c r="F1293">
        <v>75</v>
      </c>
      <c r="G1293" t="b">
        <v>0</v>
      </c>
      <c r="K1293" s="188" t="str">
        <f>IFERROR(_xlfn.XLOOKUP(A1293,[1]Fleet!A:A,[1]Fleet!E:E,""),"")</f>
        <v/>
      </c>
      <c r="L1293" s="188" t="s">
        <v>76</v>
      </c>
      <c r="M1293" s="188" t="s">
        <v>76</v>
      </c>
      <c r="N1293" s="188" t="s">
        <v>1712</v>
      </c>
      <c r="O1293">
        <v>1301</v>
      </c>
      <c r="P1293">
        <f>_xlfn.XLOOKUP(A1293,'[1]Classic Net to delete'!D:D,'[1]Classic Net to delete'!AA:AA,0)</f>
        <v>0</v>
      </c>
    </row>
    <row r="1294" spans="1:16" x14ac:dyDescent="0.25">
      <c r="A1294" t="s">
        <v>2888</v>
      </c>
      <c r="B1294" t="s">
        <v>2889</v>
      </c>
      <c r="C1294">
        <v>0</v>
      </c>
      <c r="E1294" t="str">
        <f>CONCATENATE(J1294,". ",N1294)</f>
        <v>. TBC</v>
      </c>
      <c r="F1294">
        <v>75</v>
      </c>
      <c r="G1294" t="b">
        <v>0</v>
      </c>
      <c r="K1294" s="188">
        <f>IFERROR(_xlfn.XLOOKUP(A1294,[1]Fleet!A:A,[1]Fleet!E:E,""),"")</f>
        <v>3</v>
      </c>
      <c r="L1294" s="188" t="s">
        <v>76</v>
      </c>
      <c r="M1294" s="188" t="s">
        <v>76</v>
      </c>
      <c r="N1294" s="188" t="s">
        <v>1712</v>
      </c>
      <c r="O1294">
        <v>1299</v>
      </c>
      <c r="P1294">
        <f>_xlfn.XLOOKUP(A1294,'[1]Classic Net to delete'!D:D,'[1]Classic Net to delete'!AA:AA,0)</f>
        <v>0</v>
      </c>
    </row>
    <row r="1295" spans="1:16" x14ac:dyDescent="0.25">
      <c r="A1295" t="s">
        <v>2890</v>
      </c>
      <c r="B1295" t="s">
        <v>2891</v>
      </c>
      <c r="C1295">
        <v>0</v>
      </c>
      <c r="E1295" t="str">
        <f>CONCATENATE(J1295,". ",N1295)</f>
        <v>. TBC</v>
      </c>
      <c r="F1295">
        <v>75</v>
      </c>
      <c r="G1295" t="b">
        <v>0</v>
      </c>
      <c r="K1295" s="188">
        <f>IFERROR(_xlfn.XLOOKUP(A1295,[1]Fleet!A:A,[1]Fleet!E:E,""),"")</f>
        <v>2</v>
      </c>
      <c r="L1295" s="188" t="s">
        <v>76</v>
      </c>
      <c r="M1295" s="188" t="s">
        <v>76</v>
      </c>
      <c r="N1295" s="188" t="s">
        <v>1712</v>
      </c>
      <c r="O1295">
        <v>1295</v>
      </c>
      <c r="P1295">
        <f>_xlfn.XLOOKUP(A1295,'[1]Classic Net to delete'!D:D,'[1]Classic Net to delete'!AA:AA,0)</f>
        <v>0</v>
      </c>
    </row>
    <row r="1296" spans="1:16" x14ac:dyDescent="0.25">
      <c r="A1296" t="s">
        <v>2892</v>
      </c>
      <c r="B1296" t="s">
        <v>2893</v>
      </c>
      <c r="C1296">
        <v>0</v>
      </c>
      <c r="E1296" t="str">
        <f>CONCATENATE(J1296,". ",N1296)</f>
        <v>. TBC</v>
      </c>
      <c r="F1296">
        <v>75</v>
      </c>
      <c r="G1296" t="b">
        <v>0</v>
      </c>
      <c r="K1296" s="188">
        <f>IFERROR(_xlfn.XLOOKUP(A1296,[1]Fleet!A:A,[1]Fleet!E:E,""),"")</f>
        <v>3</v>
      </c>
      <c r="L1296" s="188" t="s">
        <v>76</v>
      </c>
      <c r="M1296" s="188" t="s">
        <v>76</v>
      </c>
      <c r="N1296" s="188" t="s">
        <v>1712</v>
      </c>
      <c r="O1296">
        <v>1294</v>
      </c>
      <c r="P1296">
        <f>_xlfn.XLOOKUP(A1296,'[1]Classic Net to delete'!D:D,'[1]Classic Net to delete'!AA:AA,0)</f>
        <v>0</v>
      </c>
    </row>
    <row r="1297" spans="1:16" x14ac:dyDescent="0.25">
      <c r="A1297" t="s">
        <v>2894</v>
      </c>
      <c r="B1297" t="s">
        <v>2895</v>
      </c>
      <c r="C1297">
        <v>0</v>
      </c>
      <c r="E1297" t="str">
        <f>CONCATENATE(J1297,". ",N1297)</f>
        <v>. TBC</v>
      </c>
      <c r="F1297">
        <v>75</v>
      </c>
      <c r="G1297" t="b">
        <v>0</v>
      </c>
      <c r="K1297" s="188">
        <f>IFERROR(_xlfn.XLOOKUP(A1297,[1]Fleet!A:A,[1]Fleet!E:E,""),"")</f>
        <v>2</v>
      </c>
      <c r="L1297" s="188" t="s">
        <v>76</v>
      </c>
      <c r="M1297" s="188" t="s">
        <v>76</v>
      </c>
      <c r="N1297" s="188" t="s">
        <v>1712</v>
      </c>
      <c r="O1297">
        <v>1298</v>
      </c>
      <c r="P1297">
        <f>_xlfn.XLOOKUP(A1297,'[1]Classic Net to delete'!D:D,'[1]Classic Net to delete'!AA:AA,0)</f>
        <v>0</v>
      </c>
    </row>
    <row r="1298" spans="1:16" x14ac:dyDescent="0.25">
      <c r="A1298" t="s">
        <v>2896</v>
      </c>
      <c r="B1298" t="s">
        <v>2897</v>
      </c>
      <c r="C1298">
        <v>0</v>
      </c>
      <c r="E1298" t="str">
        <f>CONCATENATE(J1298,". ",N1298)</f>
        <v>. TBC</v>
      </c>
      <c r="F1298">
        <v>75</v>
      </c>
      <c r="G1298" t="b">
        <v>0</v>
      </c>
      <c r="K1298" s="188">
        <f>IFERROR(_xlfn.XLOOKUP(A1298,[1]Fleet!A:A,[1]Fleet!E:E,""),"")</f>
        <v>2</v>
      </c>
      <c r="L1298" s="188" t="s">
        <v>76</v>
      </c>
      <c r="M1298" s="188" t="s">
        <v>76</v>
      </c>
      <c r="N1298" s="188" t="s">
        <v>1712</v>
      </c>
      <c r="O1298">
        <v>1296</v>
      </c>
      <c r="P1298">
        <f>_xlfn.XLOOKUP(A1298,'[1]Classic Net to delete'!D:D,'[1]Classic Net to delete'!AA:AA,0)</f>
        <v>0</v>
      </c>
    </row>
    <row r="1299" spans="1:16" x14ac:dyDescent="0.25">
      <c r="A1299" t="s">
        <v>2957</v>
      </c>
      <c r="B1299" t="s">
        <v>2887</v>
      </c>
      <c r="C1299">
        <v>0</v>
      </c>
      <c r="E1299" t="str">
        <f>CONCATENATE(J1299,". ",N1299)</f>
        <v>. TBC</v>
      </c>
      <c r="F1299">
        <v>75</v>
      </c>
      <c r="G1299" t="b">
        <v>0</v>
      </c>
      <c r="K1299" s="188">
        <f>IFERROR(_xlfn.XLOOKUP(A1299,[1]Fleet!A:A,[1]Fleet!E:E,""),"")</f>
        <v>47</v>
      </c>
      <c r="L1299" s="188" t="s">
        <v>76</v>
      </c>
      <c r="M1299" s="188" t="s">
        <v>76</v>
      </c>
      <c r="N1299" s="188" t="s">
        <v>1712</v>
      </c>
      <c r="O1299">
        <v>1300</v>
      </c>
      <c r="P1299">
        <f>_xlfn.XLOOKUP(A1299,'[1]Classic Net to delete'!D:D,'[1]Classic Net to delete'!AA:AA,0)</f>
        <v>0</v>
      </c>
    </row>
  </sheetData>
  <autoFilter ref="A1:Q1299" xr:uid="{BF661E98-B30F-47C0-B0D5-2948F47AA2E8}">
    <sortState xmlns:xlrd2="http://schemas.microsoft.com/office/spreadsheetml/2017/richdata2" ref="A2:Q1299">
      <sortCondition ref="D2:D1299"/>
      <sortCondition ref="E2:E1299"/>
      <sortCondition ref="H2:H1299"/>
    </sortState>
  </autoFilter>
  <sortState xmlns:xlrd2="http://schemas.microsoft.com/office/spreadsheetml/2017/richdata2" ref="A4:P977">
    <sortCondition ref="D2:D1299"/>
    <sortCondition ref="E2:E1299"/>
    <sortCondition ref="H2:H1299"/>
  </sortState>
  <phoneticPr fontId="81" type="noConversion"/>
  <conditionalFormatting sqref="A1:A1048576">
    <cfRule type="duplicateValues" dxfId="2" priority="1"/>
  </conditionalFormatting>
  <conditionalFormatting sqref="G1:G1048576">
    <cfRule type="cellIs" dxfId="1" priority="3" operator="equal">
      <formula>FALSE</formula>
    </cfRule>
  </conditionalFormatting>
  <conditionalFormatting sqref="Q1 P1:P1048576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7" priority="23" operator="lessThan">
      <formula>55</formula>
    </cfRule>
  </conditionalFormatting>
  <conditionalFormatting sqref="B711">
    <cfRule type="cellIs" dxfId="26" priority="20" operator="lessThan">
      <formula>75</formula>
    </cfRule>
  </conditionalFormatting>
  <conditionalFormatting sqref="L17 B17">
    <cfRule type="cellIs" dxfId="25" priority="10" operator="lessThan">
      <formula>85</formula>
    </cfRule>
  </conditionalFormatting>
  <conditionalFormatting sqref="L17:L21">
    <cfRule type="cellIs" dxfId="24" priority="1" operator="equal">
      <formula>0</formula>
    </cfRule>
  </conditionalFormatting>
  <conditionalFormatting sqref="L18 B18">
    <cfRule type="cellIs" dxfId="23" priority="9" operator="lessThan">
      <formula>80</formula>
    </cfRule>
  </conditionalFormatting>
  <conditionalFormatting sqref="L19 B19">
    <cfRule type="cellIs" dxfId="22" priority="8" operator="lessThan">
      <formula>85</formula>
    </cfRule>
  </conditionalFormatting>
  <conditionalFormatting sqref="L20 B20">
    <cfRule type="cellIs" dxfId="21" priority="7" operator="lessThan">
      <formula>110</formula>
    </cfRule>
  </conditionalFormatting>
  <conditionalFormatting sqref="L21 B21">
    <cfRule type="cellIs" dxfId="20" priority="6" operator="lessThan">
      <formula>260</formula>
    </cfRule>
  </conditionalFormatting>
  <conditionalFormatting sqref="L228 B228">
    <cfRule type="cellIs" dxfId="19" priority="22" operator="lessThan">
      <formula>55</formula>
    </cfRule>
  </conditionalFormatting>
  <conditionalFormatting sqref="L228:L229">
    <cfRule type="cellIs" dxfId="18" priority="18" operator="equal">
      <formula>0</formula>
    </cfRule>
  </conditionalFormatting>
  <conditionalFormatting sqref="L229 B229">
    <cfRule type="cellIs" dxfId="17" priority="21" operator="lessThan">
      <formula>75</formula>
    </cfRule>
  </conditionalFormatting>
  <conditionalFormatting sqref="L369:L370 B369:B370">
    <cfRule type="cellIs" dxfId="16" priority="26" operator="lessThan">
      <formula>48</formula>
    </cfRule>
  </conditionalFormatting>
  <conditionalFormatting sqref="L369:L370">
    <cfRule type="cellIs" dxfId="15" priority="16" operator="equal">
      <formula>0</formula>
    </cfRule>
  </conditionalFormatting>
  <conditionalFormatting sqref="L372 B372">
    <cfRule type="cellIs" dxfId="14" priority="24" operator="lessThan">
      <formula>70</formula>
    </cfRule>
  </conditionalFormatting>
  <conditionalFormatting sqref="L372:L373">
    <cfRule type="cellIs" dxfId="13" priority="14" operator="equal">
      <formula>0</formula>
    </cfRule>
  </conditionalFormatting>
  <conditionalFormatting sqref="L373 B373">
    <cfRule type="cellIs" dxfId="12" priority="25" operator="lessThan">
      <formula>60</formula>
    </cfRule>
  </conditionalFormatting>
  <conditionalFormatting sqref="L673 B673">
    <cfRule type="cellIs" dxfId="11" priority="28" operator="lessThan">
      <formula>48</formula>
    </cfRule>
  </conditionalFormatting>
  <conditionalFormatting sqref="L673">
    <cfRule type="cellIs" dxfId="10" priority="13" operator="equal">
      <formula>0</formula>
    </cfRule>
  </conditionalFormatting>
  <conditionalFormatting sqref="L998 B998">
    <cfRule type="cellIs" dxfId="9" priority="12" operator="lessThan">
      <formula>1.2</formula>
    </cfRule>
  </conditionalFormatting>
  <conditionalFormatting sqref="L998">
    <cfRule type="cellIs" dxfId="8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7" priority="29">
      <formula>IF($Q7&lt;$L$5,TRUE,FALSE)</formula>
    </cfRule>
    <cfRule type="expression" dxfId="6" priority="30">
      <formula>IF($Q7&gt;$AG$4,TRUE,FALSE)</formula>
    </cfRule>
  </conditionalFormatting>
  <conditionalFormatting sqref="U448">
    <cfRule type="cellIs" dxfId="5" priority="31" operator="greaterThan">
      <formula>0</formula>
    </cfRule>
  </conditionalFormatting>
  <conditionalFormatting sqref="U790">
    <cfRule type="cellIs" dxfId="4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3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2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665226-E537-4E41-ADA8-B23C3439D32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2026-01-30T10:59:07Z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